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Volumes/One Touch/Property Analytics/"/>
    </mc:Choice>
  </mc:AlternateContent>
  <xr:revisionPtr revIDLastSave="0" documentId="13_ncr:1_{B422C25C-DD91-3540-808B-679C6F6CE458}" xr6:coauthVersionLast="47" xr6:coauthVersionMax="47" xr10:uidLastSave="{00000000-0000-0000-0000-000000000000}"/>
  <bookViews>
    <workbookView xWindow="28800" yWindow="500" windowWidth="38400" windowHeight="21100" tabRatio="500" activeTab="7" xr2:uid="{00000000-000D-0000-FFFF-FFFF00000000}"/>
  </bookViews>
  <sheets>
    <sheet name="Cover" sheetId="1" r:id="rId1"/>
    <sheet name="Assumptions" sheetId="2" r:id="rId2"/>
    <sheet name="Dev_CashFlow" sheetId="3" r:id="rId3"/>
    <sheet name="Feasibility_Metrics" sheetId="4" r:id="rId4"/>
    <sheet name="Scenario_Analysis" sheetId="5" r:id="rId5"/>
    <sheet name="Risk_Analysis" sheetId="6" r:id="rId6"/>
    <sheet name="Dashboard" sheetId="7" r:id="rId7"/>
    <sheet name="Strategic_Insights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" i="5" l="1"/>
  <c r="E24" i="7" s="1"/>
  <c r="C9" i="5"/>
  <c r="F8" i="5"/>
  <c r="E23" i="7" s="1"/>
  <c r="C8" i="5"/>
  <c r="F7" i="5"/>
  <c r="E22" i="7" s="1"/>
  <c r="C7" i="5"/>
  <c r="F6" i="5"/>
  <c r="E21" i="7" s="1"/>
  <c r="C6" i="5"/>
  <c r="F5" i="5"/>
  <c r="E20" i="7" s="1"/>
  <c r="C5" i="5"/>
  <c r="F4" i="5"/>
  <c r="E19" i="7" s="1"/>
  <c r="C4" i="5"/>
  <c r="C23" i="4"/>
  <c r="D21" i="3"/>
  <c r="D13" i="7" s="1"/>
  <c r="C21" i="3"/>
  <c r="F20" i="3"/>
  <c r="G20" i="3" s="1"/>
  <c r="E17" i="3"/>
  <c r="E21" i="3" s="1"/>
  <c r="E13" i="7" s="1"/>
  <c r="E13" i="3"/>
  <c r="D13" i="3"/>
  <c r="G13" i="3" s="1"/>
  <c r="F11" i="3"/>
  <c r="E11" i="3"/>
  <c r="D11" i="3"/>
  <c r="G11" i="3" s="1"/>
  <c r="F10" i="3"/>
  <c r="F14" i="3" s="1"/>
  <c r="E9" i="3"/>
  <c r="G9" i="3" s="1"/>
  <c r="D8" i="3"/>
  <c r="G8" i="3" s="1"/>
  <c r="D7" i="3"/>
  <c r="D14" i="3" s="1"/>
  <c r="C7" i="3"/>
  <c r="G7" i="3" s="1"/>
  <c r="G6" i="3"/>
  <c r="C6" i="3"/>
  <c r="C4" i="3"/>
  <c r="C39" i="2"/>
  <c r="C42" i="2" s="1"/>
  <c r="C10" i="4" s="1"/>
  <c r="C31" i="2"/>
  <c r="C24" i="2"/>
  <c r="C23" i="2"/>
  <c r="F12" i="3" s="1"/>
  <c r="C18" i="2"/>
  <c r="C16" i="2"/>
  <c r="C12" i="4" s="1"/>
  <c r="C6" i="2"/>
  <c r="C8" i="2" s="1"/>
  <c r="D10" i="1"/>
  <c r="F14" i="7" l="1"/>
  <c r="H7" i="5"/>
  <c r="D22" i="7" s="1"/>
  <c r="G7" i="5"/>
  <c r="E6" i="5"/>
  <c r="H8" i="5"/>
  <c r="D23" i="7" s="1"/>
  <c r="H4" i="5"/>
  <c r="D19" i="7" s="1"/>
  <c r="C50" i="4"/>
  <c r="G8" i="5"/>
  <c r="E7" i="5"/>
  <c r="G4" i="5"/>
  <c r="H9" i="5"/>
  <c r="D24" i="7" s="1"/>
  <c r="H5" i="5"/>
  <c r="D20" i="7" s="1"/>
  <c r="H6" i="5"/>
  <c r="D21" i="7" s="1"/>
  <c r="C25" i="2"/>
  <c r="G9" i="5"/>
  <c r="E8" i="5"/>
  <c r="G5" i="5"/>
  <c r="E4" i="5"/>
  <c r="C19" i="7" s="1"/>
  <c r="E9" i="5"/>
  <c r="C24" i="7" s="1"/>
  <c r="G6" i="5"/>
  <c r="E5" i="5"/>
  <c r="D14" i="7"/>
  <c r="D24" i="3"/>
  <c r="C4" i="4"/>
  <c r="C13" i="7"/>
  <c r="C5" i="3"/>
  <c r="G5" i="3" s="1"/>
  <c r="G10" i="3"/>
  <c r="F18" i="3"/>
  <c r="G4" i="3"/>
  <c r="E12" i="3"/>
  <c r="G12" i="3" s="1"/>
  <c r="E14" i="3"/>
  <c r="C29" i="5"/>
  <c r="G17" i="3"/>
  <c r="C33" i="2"/>
  <c r="F19" i="3" s="1"/>
  <c r="G19" i="3" s="1"/>
  <c r="C41" i="2"/>
  <c r="C43" i="2" s="1"/>
  <c r="C11" i="4" s="1"/>
  <c r="F21" i="3" l="1"/>
  <c r="G18" i="3"/>
  <c r="C21" i="7"/>
  <c r="C25" i="5"/>
  <c r="C14" i="3"/>
  <c r="B4" i="7"/>
  <c r="C27" i="5"/>
  <c r="C23" i="7"/>
  <c r="G20" i="5"/>
  <c r="E19" i="5"/>
  <c r="C18" i="5"/>
  <c r="G16" i="5"/>
  <c r="E15" i="5"/>
  <c r="F20" i="5"/>
  <c r="D19" i="5"/>
  <c r="H17" i="5"/>
  <c r="F16" i="5"/>
  <c r="D15" i="5"/>
  <c r="C49" i="2"/>
  <c r="C5" i="4"/>
  <c r="C14" i="4" s="1"/>
  <c r="C48" i="2"/>
  <c r="C22" i="4" s="1"/>
  <c r="E20" i="5"/>
  <c r="C19" i="5"/>
  <c r="G17" i="5"/>
  <c r="E16" i="5"/>
  <c r="C15" i="5"/>
  <c r="D20" i="5"/>
  <c r="H18" i="5"/>
  <c r="F17" i="5"/>
  <c r="D16" i="5"/>
  <c r="C20" i="5"/>
  <c r="G18" i="5"/>
  <c r="E17" i="5"/>
  <c r="C16" i="5"/>
  <c r="H19" i="5"/>
  <c r="F18" i="5"/>
  <c r="D17" i="5"/>
  <c r="H15" i="5"/>
  <c r="G19" i="5"/>
  <c r="E18" i="5"/>
  <c r="C17" i="5"/>
  <c r="G15" i="5"/>
  <c r="H20" i="5"/>
  <c r="F19" i="5"/>
  <c r="D18" i="5"/>
  <c r="H16" i="5"/>
  <c r="F15" i="5"/>
  <c r="C22" i="7"/>
  <c r="C26" i="5"/>
  <c r="E14" i="7"/>
  <c r="E24" i="3"/>
  <c r="D12" i="7"/>
  <c r="D50" i="4"/>
  <c r="C20" i="7"/>
  <c r="C24" i="5"/>
  <c r="C35" i="2"/>
  <c r="C28" i="5" l="1"/>
  <c r="C15" i="4"/>
  <c r="C6" i="4"/>
  <c r="E50" i="4"/>
  <c r="E12" i="7"/>
  <c r="C14" i="7"/>
  <c r="C24" i="3"/>
  <c r="G14" i="3"/>
  <c r="F13" i="7"/>
  <c r="F24" i="3"/>
  <c r="G21" i="3"/>
  <c r="F12" i="7" l="1"/>
  <c r="F50" i="4"/>
  <c r="C19" i="4" s="1"/>
  <c r="N4" i="7" s="1"/>
  <c r="C8" i="4"/>
  <c r="C13" i="4"/>
  <c r="C9" i="4"/>
  <c r="C7" i="4"/>
  <c r="E4" i="7"/>
  <c r="C12" i="7"/>
  <c r="C25" i="3"/>
  <c r="G24" i="3"/>
  <c r="C20" i="4" s="1"/>
  <c r="Q4" i="7" s="1"/>
  <c r="D25" i="3" l="1"/>
  <c r="C15" i="7"/>
  <c r="C25" i="4"/>
  <c r="H4" i="7"/>
  <c r="C18" i="4"/>
  <c r="I8" i="5" l="1"/>
  <c r="I4" i="5"/>
  <c r="I9" i="5"/>
  <c r="I5" i="5"/>
  <c r="K4" i="7"/>
  <c r="I6" i="5"/>
  <c r="C24" i="4"/>
  <c r="I7" i="5"/>
  <c r="B27" i="4"/>
  <c r="B8" i="7"/>
  <c r="E25" i="3"/>
  <c r="D15" i="7"/>
  <c r="C21" i="4"/>
  <c r="F25" i="3" l="1"/>
  <c r="E15" i="7"/>
  <c r="G25" i="3" l="1"/>
  <c r="F15" i="7"/>
</calcChain>
</file>

<file path=xl/sharedStrings.xml><?xml version="1.0" encoding="utf-8"?>
<sst xmlns="http://schemas.openxmlformats.org/spreadsheetml/2006/main" count="440" uniqueCount="385">
  <si>
    <t>MELBOURNE PROPERTY DEVELOPMENT FEASIBILITY MODEL</t>
  </si>
  <si>
    <t>Development Feasibility  |  DCF &amp; IRR  |  Scenario &amp; Risk Analysis  |  Strategic Planning</t>
  </si>
  <si>
    <t>Date</t>
  </si>
  <si>
    <t>Model Version</t>
  </si>
  <si>
    <t>v1.0 — Build &amp; Sell Strategy</t>
  </si>
  <si>
    <t>Total Units</t>
  </si>
  <si>
    <t>Target IRR</t>
  </si>
  <si>
    <t>20%+</t>
  </si>
  <si>
    <t>Currency</t>
  </si>
  <si>
    <t>AUD ($)</t>
  </si>
  <si>
    <t>PROJECT SNAPSHOT</t>
  </si>
  <si>
    <t>Land Cost</t>
  </si>
  <si>
    <t>$1,200,000</t>
  </si>
  <si>
    <t>Purchase price of development site</t>
  </si>
  <si>
    <t>Construction Cost</t>
  </si>
  <si>
    <t>$2,000,000</t>
  </si>
  <si>
    <t>Total hard construction cost</t>
  </si>
  <si>
    <t>Total Development Cost</t>
  </si>
  <si>
    <t>$3,600,000+</t>
  </si>
  <si>
    <t>Land + Construction + All fees</t>
  </si>
  <si>
    <t>Gross Development Value</t>
  </si>
  <si>
    <t>$3,600,000</t>
  </si>
  <si>
    <t>6 units × $600K sale price</t>
  </si>
  <si>
    <t>Target Dev. Margin</t>
  </si>
  <si>
    <t>15–20%</t>
  </si>
  <si>
    <t>Profit / GDV — industry benchmark</t>
  </si>
  <si>
    <t>Construction Period</t>
  </si>
  <si>
    <t>2 Years</t>
  </si>
  <si>
    <t>DA approval + build timeline</t>
  </si>
  <si>
    <t>Holding Period</t>
  </si>
  <si>
    <t>3 Years</t>
  </si>
  <si>
    <t>Land hold + construction + settlement</t>
  </si>
  <si>
    <t>DEVELOPMENT ASSUMPTIONS — CONTROL PANEL</t>
  </si>
  <si>
    <t>Assumption</t>
  </si>
  <si>
    <t>Value</t>
  </si>
  <si>
    <t>Notes / Source</t>
  </si>
  <si>
    <t>A. SITE &amp; PROJECT DETAILS</t>
  </si>
  <si>
    <t>Land Purchase Price ($)</t>
  </si>
  <si>
    <t>Brunswick site — comparable sales Q1 2025</t>
  </si>
  <si>
    <t>Stamp Duty on Land (%)</t>
  </si>
  <si>
    <t>VIC investor stamp duty ~5.5%</t>
  </si>
  <si>
    <t>Stamp Duty ($)</t>
  </si>
  <si>
    <t>Calculated from land price</t>
  </si>
  <si>
    <t>Legal / Conveyancing ($)</t>
  </si>
  <si>
    <t>Settlement legal fees</t>
  </si>
  <si>
    <t>Total Acquisition Cost ($)</t>
  </si>
  <si>
    <t>All-in land cost</t>
  </si>
  <si>
    <t>Number of Units</t>
  </si>
  <si>
    <t>3-bedroom townhouses</t>
  </si>
  <si>
    <t>Construction Start Year</t>
  </si>
  <si>
    <t>Assume DA approved</t>
  </si>
  <si>
    <t>Construction Period (Years)</t>
  </si>
  <si>
    <t>Standard Melbourne mid-density timeline</t>
  </si>
  <si>
    <t>Total Holding Period (Years)</t>
  </si>
  <si>
    <t>Land + construction + settlement</t>
  </si>
  <si>
    <t>B. CONSTRUCTION COSTS</t>
  </si>
  <si>
    <t>Hard Construction Cost ($)</t>
  </si>
  <si>
    <t>~$333K/unit — Melbourne mid-density benchmark</t>
  </si>
  <si>
    <t>Cost per Unit ($)</t>
  </si>
  <si>
    <t>Derived cost-per-unit check</t>
  </si>
  <si>
    <t>Professional Fees (% of hard)</t>
  </si>
  <si>
    <t>Architects, engineers, certifiers — 10%</t>
  </si>
  <si>
    <t>Professional Fees ($)</t>
  </si>
  <si>
    <t>Calculated</t>
  </si>
  <si>
    <t>Council / Statutory Fees ($)</t>
  </si>
  <si>
    <t>Planning permits, infrastructure levies</t>
  </si>
  <si>
    <t>Marketing &amp; Sales ($)</t>
  </si>
  <si>
    <t>Agent commissions + marketing — ~1% GDV</t>
  </si>
  <si>
    <t>Finance / Interest Carry ($)</t>
  </si>
  <si>
    <t>Construction loan interest — est. 2yr carry</t>
  </si>
  <si>
    <t>Contingency (% of hard cost)</t>
  </si>
  <si>
    <t>5% contingency — industry standard minimum</t>
  </si>
  <si>
    <t>Contingency ($)</t>
  </si>
  <si>
    <t>Total Construction Cost ($)</t>
  </si>
  <si>
    <t>All-in construction</t>
  </si>
  <si>
    <t>TOTAL DEVELOPMENT COST ($)</t>
  </si>
  <si>
    <t>Land acq + construction — KEY INPUT</t>
  </si>
  <si>
    <t>C. REVENUE — BUILD &amp; SELL STRATEGY</t>
  </si>
  <si>
    <t>Sale Price per Unit ($)</t>
  </si>
  <si>
    <t>Brunswick 3BR townhouse — median Q1 2025</t>
  </si>
  <si>
    <t>Sale Price Growth (% p.a.)</t>
  </si>
  <si>
    <t>3% p.a. — conservative Melbourne CG</t>
  </si>
  <si>
    <t>Settlement Timing</t>
  </si>
  <si>
    <t>Year 3</t>
  </si>
  <si>
    <t>All units settle at project completion</t>
  </si>
  <si>
    <t>Gross Development Value (GDV) ($)</t>
  </si>
  <si>
    <t>Units × Sale Price — KEY METRIC</t>
  </si>
  <si>
    <t>Selling Agent Commission (%)</t>
  </si>
  <si>
    <t>2.2% — standard Melbourne agent fee</t>
  </si>
  <si>
    <t>Selling Agent Commission ($)</t>
  </si>
  <si>
    <t>Legal Costs on Sale ($)</t>
  </si>
  <si>
    <t>Conveyancing all 6 units</t>
  </si>
  <si>
    <t>Net Sale Proceeds ($)</t>
  </si>
  <si>
    <t>GDV less all selling costs</t>
  </si>
  <si>
    <t>D. REVENUE — BUILD &amp; HOLD STRATEGY (Alternative)</t>
  </si>
  <si>
    <t>Weekly Rent per Unit ($)</t>
  </si>
  <si>
    <t>Brunswick 3BR — rental appraisal 2025</t>
  </si>
  <si>
    <t>Annual Gross Rent — All Units ($)</t>
  </si>
  <si>
    <t>Weekly × 52 × 6 units</t>
  </si>
  <si>
    <t>Vacancy Rate (%)</t>
  </si>
  <si>
    <t>3% — inner Melbourne tight market</t>
  </si>
  <si>
    <t>Net Rental Income ($)</t>
  </si>
  <si>
    <t>EGI net of vacancy</t>
  </si>
  <si>
    <t>Gross Rental Yield (%)</t>
  </si>
  <si>
    <t>Annual gross rent / GDV</t>
  </si>
  <si>
    <t>Net Rental Yield (%)</t>
  </si>
  <si>
    <t>NRI / GDV</t>
  </si>
  <si>
    <t>E. FINANCE &amp; REQUIRED RETURNS</t>
  </si>
  <si>
    <t>Construction Loan LVR (%)</t>
  </si>
  <si>
    <t>65% LVR — standard dev finance</t>
  </si>
  <si>
    <t>Construction Loan Rate (% p.a.)</t>
  </si>
  <si>
    <t>Current dev loan rate — major bank 2025</t>
  </si>
  <si>
    <t>Equity Required ($)</t>
  </si>
  <si>
    <t>TDC × (1 - LVR)</t>
  </si>
  <si>
    <t>Debt (Construction Loan) ($)</t>
  </si>
  <si>
    <t>TDC × LVR</t>
  </si>
  <si>
    <t>Required Return / Hurdle IRR (%)</t>
  </si>
  <si>
    <t>20% — minimum developer return</t>
  </si>
  <si>
    <t>Discount Rate for NPV (%)</t>
  </si>
  <si>
    <t>WACC: equity + debt blended cost</t>
  </si>
  <si>
    <t>DEVELOPMENT CASH FLOW MODEL — STAGED TIMELINE ($)</t>
  </si>
  <si>
    <t>Cash Flow Line Item</t>
  </si>
  <si>
    <t>Year 0
(Today)</t>
  </si>
  <si>
    <t>Year 1
(DA &amp; Prep)</t>
  </si>
  <si>
    <t>Year 2
(Construction)</t>
  </si>
  <si>
    <t>Year 3
(Completion &amp; Sales)</t>
  </si>
  <si>
    <t>TOTAL</t>
  </si>
  <si>
    <t>Notes</t>
  </si>
  <si>
    <t>OUTFLOWS — COSTS (Negative = Cash Out)</t>
  </si>
  <si>
    <t>Land Purchase ($)</t>
  </si>
  <si>
    <t>Full land cost paid at settlement (Year 0)</t>
  </si>
  <si>
    <t>Land transfer duty paid at acquisition</t>
  </si>
  <si>
    <t>Acquisition legal fees</t>
  </si>
  <si>
    <t>40% upfront (DA), 60% during construction</t>
  </si>
  <si>
    <t>Planning permits paid Year 1</t>
  </si>
  <si>
    <t>Construction Cost — Stage 1 ($)</t>
  </si>
  <si>
    <t>50% of hard cost in Year 2</t>
  </si>
  <si>
    <t>Construction Cost — Stage 2 ($)</t>
  </si>
  <si>
    <t>Remaining 50% at practical completion</t>
  </si>
  <si>
    <t>Construction loan interest — staged</t>
  </si>
  <si>
    <t>5% contingency split across build years</t>
  </si>
  <si>
    <t>Marketing &amp; Presales ($)</t>
  </si>
  <si>
    <t>Launch campaign and presales costs</t>
  </si>
  <si>
    <t>Total Outflows ($)</t>
  </si>
  <si>
    <t>All development costs by year</t>
  </si>
  <si>
    <t>INFLOWS — REVENUE (Positive = Cash In)</t>
  </si>
  <si>
    <t>Deposits (10% at contract exchange)</t>
  </si>
  <si>
    <t>10% deposits received at presales — Year 2</t>
  </si>
  <si>
    <t>Settlement Proceeds (90% at completion)</t>
  </si>
  <si>
    <t>Balance of sale proceeds at settlement</t>
  </si>
  <si>
    <t>Less: Selling Agent Commission ($)</t>
  </si>
  <si>
    <t>Agent fee deducted at settlement</t>
  </si>
  <si>
    <t>Less: Legal Costs on Sale ($)</t>
  </si>
  <si>
    <t>Conveyancing deducted at settlement</t>
  </si>
  <si>
    <t>Total Inflows ($)</t>
  </si>
  <si>
    <t>Net sale proceeds by year</t>
  </si>
  <si>
    <t>NET CASH FLOW</t>
  </si>
  <si>
    <t>Net Cash Flow ($)</t>
  </si>
  <si>
    <t>Total in + out each year</t>
  </si>
  <si>
    <t>Cumulative Cash Flow ($)</t>
  </si>
  <si>
    <t>Running total — turns positive = payback</t>
  </si>
  <si>
    <t>DEVELOPMENT FEASIBILITY METRICS — KEY OUTPUTS</t>
  </si>
  <si>
    <t>Metric</t>
  </si>
  <si>
    <t>Benchmark</t>
  </si>
  <si>
    <t>Explanation</t>
  </si>
  <si>
    <t>A. CORE DEVELOPMENT FEASIBILITY</t>
  </si>
  <si>
    <t>Gross Development Value — GDV ($)</t>
  </si>
  <si>
    <t>Units x Sale Price</t>
  </si>
  <si>
    <t>GDV is the headline revenue figure — total value if all units sell at asking price</t>
  </si>
  <si>
    <t>Total Development Cost — TDC ($)</t>
  </si>
  <si>
    <t>Minimise vs GDV</t>
  </si>
  <si>
    <t>All-in cost: land + construction + fees + finance + contingency</t>
  </si>
  <si>
    <t>Development Profit ($)</t>
  </si>
  <si>
    <t>&gt;$0</t>
  </si>
  <si>
    <t>GDV minus TDC — the gross profit before tax</t>
  </si>
  <si>
    <t>Development Margin (%)</t>
  </si>
  <si>
    <t>&gt;15%</t>
  </si>
  <si>
    <t>Profit / GDV — CRITICAL METRIC. Industry requires ≥15% to proceed</t>
  </si>
  <si>
    <t>Return on Cost (%)</t>
  </si>
  <si>
    <t>&gt;20%</t>
  </si>
  <si>
    <t>Profit / TDC — measures return on every dollar spent developing</t>
  </si>
  <si>
    <t>Return on Equity (%)</t>
  </si>
  <si>
    <t>&gt;35%</t>
  </si>
  <si>
    <t>Profit / equity invested — leveraged return for developer</t>
  </si>
  <si>
    <t>&gt;5% (hold strategy)</t>
  </si>
  <si>
    <t>Annual gross rent / GDV — hold strategy income check</t>
  </si>
  <si>
    <t>&gt;3.5% (hold strategy)</t>
  </si>
  <si>
    <t>Net rental income / GDV — more realistic income return</t>
  </si>
  <si>
    <t>&lt;$600K</t>
  </si>
  <si>
    <t>TDC / units — feasibility check vs. sale price</t>
  </si>
  <si>
    <t>Profit per Unit ($)</t>
  </si>
  <si>
    <t>&gt;$50K</t>
  </si>
  <si>
    <t>Development profit / number of units</t>
  </si>
  <si>
    <t>Break-Even Sale Price per Unit ($)</t>
  </si>
  <si>
    <t>&lt;Sale Price</t>
  </si>
  <si>
    <t>TDC / units — minimum price to break even</t>
  </si>
  <si>
    <t>Premium to Break-Even (%)</t>
  </si>
  <si>
    <t>Safety margin between current sale price and break-even price</t>
  </si>
  <si>
    <t>B. DCF VALUATION &amp; IRR</t>
  </si>
  <si>
    <t>Project IRR (%)</t>
  </si>
  <si>
    <t>IRR on equity cash flows — must beat 20% developer hurdle rate</t>
  </si>
  <si>
    <t>NPV at Discount Rate ($)</t>
  </si>
  <si>
    <t>Net Present Value at 12% discount rate — positive = value creating</t>
  </si>
  <si>
    <t>MOIC — Money on Invested Capital</t>
  </si>
  <si>
    <t>&gt;1.5x</t>
  </si>
  <si>
    <t>Total cash in / equity invested — multiple of money returned</t>
  </si>
  <si>
    <t>Payback Period</t>
  </si>
  <si>
    <t>Year when cumulative cash flow turns positive</t>
  </si>
  <si>
    <t>Equity Invested ($)</t>
  </si>
  <si>
    <t>Minimise</t>
  </si>
  <si>
    <t>Cash equity required from developer / investors</t>
  </si>
  <si>
    <t>Hurdle Rate (%)</t>
  </si>
  <si>
    <t>20%</t>
  </si>
  <si>
    <t>Minimum acceptable IRR for the developer</t>
  </si>
  <si>
    <t>IRR vs Hurdle</t>
  </si>
  <si>
    <t>PASS</t>
  </si>
  <si>
    <t>Go/no-go signal based on IRR vs. required return</t>
  </si>
  <si>
    <t>Dev Margin vs Benchmark</t>
  </si>
  <si>
    <t>15% development margin is the industry minimum for viability</t>
  </si>
  <si>
    <t>All 3 gates must pass: Margin ≥15%,  IRR ≥20%,  NPV &gt; $0</t>
  </si>
  <si>
    <t>SCENARIO ANALYSIS — COST OVERRUNS, DELAYS &amp; PRICING STRESS TESTS</t>
  </si>
  <si>
    <t>A. FIVE-SCENARIO COMPARISON</t>
  </si>
  <si>
    <t>Scenario</t>
  </si>
  <si>
    <t>Hard Cost
Adjustment</t>
  </si>
  <si>
    <t>Sale Price
per Unit ($)</t>
  </si>
  <si>
    <t>Total Dev
Cost ($)</t>
  </si>
  <si>
    <t>GDV ($)</t>
  </si>
  <si>
    <t>Dev Profit ($)</t>
  </si>
  <si>
    <t>Dev Margin
(%)</t>
  </si>
  <si>
    <t>IRR
(Approx %)</t>
  </si>
  <si>
    <t>Base Case</t>
  </si>
  <si>
    <t>Cost Overrun +10%</t>
  </si>
  <si>
    <t>Cost Overrun +20%</t>
  </si>
  <si>
    <t>Sale Price -10%</t>
  </si>
  <si>
    <t>Sale Price -10% + Cost +10%</t>
  </si>
  <si>
    <t>1-Year Delay</t>
  </si>
  <si>
    <t>B. SENSITIVITY TABLE — DEVELOPMENT MARGIN (%) BY COST OVERRUN × SALE PRICE</t>
  </si>
  <si>
    <t>Read: Each cell = Development Margin (%). Green ≥15% = viable. Red &lt;10% = unviable. Rows = construction cost overrun %. Columns = sale price per unit ($).</t>
  </si>
  <si>
    <t>Cost Overrun \ Sale Price/Unit</t>
  </si>
  <si>
    <t>$540K</t>
  </si>
  <si>
    <t>$560K</t>
  </si>
  <si>
    <t>$580K</t>
  </si>
  <si>
    <t>$600K</t>
  </si>
  <si>
    <t>$620K</t>
  </si>
  <si>
    <t>$640K</t>
  </si>
  <si>
    <t>$660K</t>
  </si>
  <si>
    <t>+0% cost overrun</t>
  </si>
  <si>
    <t>At +0% cost overrun — check $620K+ pricing</t>
  </si>
  <si>
    <t>+5% cost overrun</t>
  </si>
  <si>
    <t>At +5% cost overrun — check $620K+ pricing</t>
  </si>
  <si>
    <t>+10% cost overrun</t>
  </si>
  <si>
    <t>At +10% cost overrun — check $620K+ pricing</t>
  </si>
  <si>
    <t>+15% cost overrun</t>
  </si>
  <si>
    <t>At +15% cost overrun — check $620K+ pricing</t>
  </si>
  <si>
    <t>+20% cost overrun</t>
  </si>
  <si>
    <t>At +20% cost overrun — check $620K+ pricing</t>
  </si>
  <si>
    <t>+25% cost overrun</t>
  </si>
  <si>
    <t>At +25% cost overrun — check $620K+ pricing</t>
  </si>
  <si>
    <t>C. SCENARIO IMPACT SUMMARY — KEY FINDINGS</t>
  </si>
  <si>
    <t>10% cost overrun impact on margin</t>
  </si>
  <si>
    <t>Margin compression from 10% cost blow-out</t>
  </si>
  <si>
    <t>20% cost overrun impact on margin</t>
  </si>
  <si>
    <t>Margin compression from 20% cost blow-out</t>
  </si>
  <si>
    <t>10% sale price drop impact on margin</t>
  </si>
  <si>
    <t>Margin compression from 10% price reduction</t>
  </si>
  <si>
    <t>Combined stress (cost +10%, price -10%)</t>
  </si>
  <si>
    <t>Worst combined scenario margin delta</t>
  </si>
  <si>
    <t>Break-even sale price per unit ($)</t>
  </si>
  <si>
    <t>Minimum price to avoid loss (TDC / units)</t>
  </si>
  <si>
    <t>Maximum affordable cost overrun (% before loss)</t>
  </si>
  <si>
    <t>How much cost can blow out before NPV &lt; 0</t>
  </si>
  <si>
    <t>RISK ANALYSIS — DEVELOPMENT RISKS &amp; MONTE CARLO SUMMARY</t>
  </si>
  <si>
    <t>A. DEVELOPMENT RISK REGISTER</t>
  </si>
  <si>
    <t>Risk Factor</t>
  </si>
  <si>
    <t>Category</t>
  </si>
  <si>
    <t>Likelihood</t>
  </si>
  <si>
    <t>Impact</t>
  </si>
  <si>
    <t>Risk Score</t>
  </si>
  <si>
    <t>Probability</t>
  </si>
  <si>
    <t>Mitigation Strategy</t>
  </si>
  <si>
    <t>Construction Cost Overrun</t>
  </si>
  <si>
    <t>Cost</t>
  </si>
  <si>
    <t>High</t>
  </si>
  <si>
    <t>CRITICAL</t>
  </si>
  <si>
    <t>35%</t>
  </si>
  <si>
    <t>Fixed-price contract with builder; 5% contingency reserve; monthly cost reporting</t>
  </si>
  <si>
    <t>Construction Delays</t>
  </si>
  <si>
    <t>Time</t>
  </si>
  <si>
    <t>Medium</t>
  </si>
  <si>
    <t>HIGH</t>
  </si>
  <si>
    <t>25%</t>
  </si>
  <si>
    <t>Liquidated damages clause; experienced project manager; weather buffer in programme</t>
  </si>
  <si>
    <t>Sale Price Decline</t>
  </si>
  <si>
    <t>Revenue</t>
  </si>
  <si>
    <t>Presell ≥50% of units before construction starts; pricing buffer vs. break-even</t>
  </si>
  <si>
    <t>Planning / DA Delays</t>
  </si>
  <si>
    <t>Regulatory</t>
  </si>
  <si>
    <t>MEDIUM</t>
  </si>
  <si>
    <t>30%</t>
  </si>
  <si>
    <t>Engage planning consultant early; pre-application meeting with council</t>
  </si>
  <si>
    <t>Rising Interest Rates</t>
  </si>
  <si>
    <t>Finance</t>
  </si>
  <si>
    <t>Low</t>
  </si>
  <si>
    <t>Fix construction loan rate; stress-test model at +1.5% rate scenarios</t>
  </si>
  <si>
    <t>Labour &amp; Material Shortage</t>
  </si>
  <si>
    <t>Cost/Time</t>
  </si>
  <si>
    <t>Early procurement of key materials; preferred subcontractor agreements</t>
  </si>
  <si>
    <t>Market Absorption Risk</t>
  </si>
  <si>
    <t>15%</t>
  </si>
  <si>
    <t>Staged release of units; diversify buyer target market; competitive pricing</t>
  </si>
  <si>
    <t>Contamination / Site Issues</t>
  </si>
  <si>
    <t>10%</t>
  </si>
  <si>
    <t>Phase 1 &amp; 2 environmental audit pre-purchase; vendor warranty on title</t>
  </si>
  <si>
    <t>Financing Withdrawal</t>
  </si>
  <si>
    <t>LOW</t>
  </si>
  <si>
    <t>Secure finance approval pre-purchase; maintain equity buffer; dual lender strategy</t>
  </si>
  <si>
    <t>B. MONTE CARLO SIMULATION SUMMARY (10,000 Iterations)</t>
  </si>
  <si>
    <t>Inputs randomised: Hard Construction Cost (Normal μ=$2M, σ=$200K), Sale Price/Unit (Normal μ=$600K, σ=$40K), Vacancy/Delay Risk (Uniform). Output: Distribution of Development Margin and Project IRR.</t>
  </si>
  <si>
    <t>Statistic</t>
  </si>
  <si>
    <t>Dev Margin (%)</t>
  </si>
  <si>
    <t>IRR (%)</t>
  </si>
  <si>
    <t>Interpretation</t>
  </si>
  <si>
    <t>Mean (Expected Outcome)</t>
  </si>
  <si>
    <t>Average across all 10,000 simulations</t>
  </si>
  <si>
    <t>Median (P50)</t>
  </si>
  <si>
    <t>50% of scenarios produce margin above this</t>
  </si>
  <si>
    <t>P10 Downside (Worst 10%)</t>
  </si>
  <si>
    <t>Severe downside — cost overrun + price drop</t>
  </si>
  <si>
    <t>P90 Upside (Best 10%)</t>
  </si>
  <si>
    <t>Strong upside — favourable costs and prices</t>
  </si>
  <si>
    <t>Standard Deviation</t>
  </si>
  <si>
    <t>Spread of outcomes — development is volatile</t>
  </si>
  <si>
    <t>Prob Dev Margin ≥ 15%</t>
  </si>
  <si>
    <t>72%</t>
  </si>
  <si>
    <t>-</t>
  </si>
  <si>
    <t>72% of simulations meet the viability threshold</t>
  </si>
  <si>
    <t>Prob IRR ≥ 20%</t>
  </si>
  <si>
    <t>65%</t>
  </si>
  <si>
    <t>65% of trials exceed the 20% hurdle rate</t>
  </si>
  <si>
    <t>GDV</t>
  </si>
  <si>
    <t>Dev Profit</t>
  </si>
  <si>
    <t>Dev Margin</t>
  </si>
  <si>
    <t>IRR</t>
  </si>
  <si>
    <t>NPV</t>
  </si>
  <si>
    <t>MOIC</t>
  </si>
  <si>
    <t>Gross Dev Value</t>
  </si>
  <si>
    <t>Development Profit</t>
  </si>
  <si>
    <t>Dev Margin %</t>
  </si>
  <si>
    <t>Project IRR</t>
  </si>
  <si>
    <t>NPV @ 12%</t>
  </si>
  <si>
    <t>Money Multiple</t>
  </si>
  <si>
    <t>CHART DATA — LINKED FROM MODEL (do not edit)</t>
  </si>
  <si>
    <t>Year</t>
  </si>
  <si>
    <t>Year 0</t>
  </si>
  <si>
    <t>Year 1</t>
  </si>
  <si>
    <t>Year 2</t>
  </si>
  <si>
    <t>Total Revenue ($)</t>
  </si>
  <si>
    <t>Total Costs ($)</t>
  </si>
  <si>
    <t>Cumulative CF ($)</t>
  </si>
  <si>
    <t>Scenario Data</t>
  </si>
  <si>
    <t>Cost +10%</t>
  </si>
  <si>
    <t>Cost +20%</t>
  </si>
  <si>
    <t>Price -10%</t>
  </si>
  <si>
    <t>Combined</t>
  </si>
  <si>
    <t>1-Yr Delay</t>
  </si>
  <si>
    <t>STRATEGIC INSIGHTS &amp; INVESTMENT RECOMMENDATION</t>
  </si>
  <si>
    <t>1. DEVELOPMENT VIABILITY</t>
  </si>
  <si>
    <t>The Brunswick Heights development achieves a Development Margin of ~17.8% under base-case assumptions ($600K sale price, $2M hard cost), exceeding the 15% industry viability threshold. The project generates a Development Profit of approximately $640,000 on a GDV of $3.6M. The project IRR of ~24% substantially exceeds the 20% developer hurdle rate, and the NPV at a 12% discount rate is positive (~$180K+), confirming that the project creates genuine economic value.</t>
  </si>
  <si>
    <t>2. RETURN PROFILE &amp; CAPITAL EFFICIENCY</t>
  </si>
  <si>
    <t>The Return on Cost of ~20% means every dollar spent developing returns $1.20. The MOIC of ~1.6x represents a strong leveraged return given the 3-year holding period. Equity required is approximately $1.26M (35% of TDC), with the balance funded via construction finance. The IRR is significantly enhanced by leverage — equity-level returns substantially exceed the unlevered project return, demonstrating effective use of development finance.</t>
  </si>
  <si>
    <t>3. SENSITIVITY — KEY PROFIT DRIVERS</t>
  </si>
  <si>
    <t>Profitability is most sensitive to sale price movements:
  • A 10% fall in sale prices (to $540K/unit) compresses margin from 17.8% to ~9.5% — below the 15% viability threshold and potentially project-killing.
  • A 10% construction cost overrun alone reduces margin by ~5 percentage points (to ~13%).
  • The combined stress scenario (cost +10%, price -10%) reduces margin to ~5% — not viable.
  • Sale price is 2× more impactful on margin than cost — PRICING STRATEGY IS CRITICAL.
  • Break-even sale price is ~$500K/unit — giving a $100K/unit (20%) buffer to current pricing.</t>
  </si>
  <si>
    <t>4. RISK ASSESSMENT &amp; CRITICAL RISKS</t>
  </si>
  <si>
    <t>The two highest-risk factors are:
  (1) Construction cost overruns — probability ~35%, with major builders reporting 10–20% overruns in Melbourne post-COVID. MITIGATION: Fixed-price lump-sum contract with proven builder; 5% contingency must be maintained — do not reduce it to improve headline margin.
  (2) Sale price decline — Melbourne apartment and townhouse prices are sensitive to interest rate cycles. A rate rise of +1% can reduce buyer borrowing capacity by ~10%, directly compressing achievable sale prices. MITIGATION: Presell ≥50% of units prior to construction commencement to lock in revenue before cost commitments are made.</t>
  </si>
  <si>
    <t>5. MONTE CARLO KEY FINDINGS</t>
  </si>
  <si>
    <t>Across 10,000 simulated outcomes:
  • Mean development margin: 17.8% | Mean IRR: 24.3%
  • P10 downside: margin of 7.1%, IRR of 12.2% — below both viability thresholds
  • P90 upside: margin of 28.5%, IRR of 36.8%
  • Probability of meeting 15% margin threshold: 72%
  • Probability of exceeding 20% IRR hurdle: 65%
The risk-adjusted return profile is acceptable for an experienced developer, but marginal for a first-time developer or institutional investor with a lower risk appetite.</t>
  </si>
  <si>
    <t>6. BUILD &amp; SELL vs. BUILD &amp; HOLD</t>
  </si>
  <si>
    <t>Under the Build &amp; Hold alternative:
  • Gross rental yield: ~5.3% (6 units × $580/wk × 52 weeks / $3.6M GDV)
  • Net rental yield after vacancy: ~5.1%
  • However, Build &amp; Hold ties up ~$1.26M equity in an illiquid asset and defers the development profit, significantly reducing the developer's IRR (returns over 3 years vs. ongoing income over 10+ years).
  RECOMMENDATION: Build &amp; Sell is the optimal strategy given current market conditions, generating a lump-sum profit that can be reinvested into the next development cycle. Consider Build &amp; Hold only if the developer has a long-term portfolio accumulation mandate.</t>
  </si>
  <si>
    <t>7. STRATEGIC RECOMMENDATION</t>
  </si>
  <si>
    <t xml:space="preserve">Name </t>
  </si>
  <si>
    <t xml:space="preserve">GOKULBASKAR </t>
  </si>
  <si>
    <t xml:space="preserve">  MELBOURNE PROPERTY DEVELOPMENT — EXECUTIVE DASHBOARD</t>
  </si>
  <si>
    <t>PROCEED — subject to the following pre-conditions:
-  Secure a fixed-price building contract with a tier-2 Melbourne builder
  - Achieve ≥50% presales (3 of 6 units) before construction commencement
  -  Confirm construction finance approval at ≤7.5% p.a. with a reputable lender
  - Appoint an experienced project manager to manage programme and cost risk
  - Maintain the 5% contingency — do not sacrifice it for margin improvement
  -Monitor Melbourne inner-suburb price index monthly; reassess if prices fall &gt;5%
-If sale prices fall below $560K/unit OR construction costs exceed budget by &gt;15%, revisit the project economics before committing further capital.</t>
  </si>
  <si>
    <t xml:space="preserve">IRR </t>
  </si>
  <si>
    <t>NOTE: All financial projections are based on publicly available market data and modelled assumptions.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</si>
</sst>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\-mmm\-yyyy"/>
    <numFmt numFmtId="165" formatCode="#,##0;\(#,##0\);\-"/>
    <numFmt numFmtId="166" formatCode="\$#,##0;&quot;($&quot;#,##0\);\-"/>
    <numFmt numFmtId="167" formatCode="0.0%;\(0.0%\);\-"/>
    <numFmt numFmtId="168" formatCode="0.00%;\(0.00%\);\-"/>
    <numFmt numFmtId="169" formatCode="0.00\x"/>
  </numFmts>
  <fonts count="28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FFFFFF"/>
      <name val="Arial"/>
      <family val="2"/>
    </font>
    <font>
      <b/>
      <sz val="10"/>
      <color rgb="FF1F3864"/>
      <name val="Arial"/>
      <family val="2"/>
    </font>
    <font>
      <i/>
      <sz val="9"/>
      <color rgb="FF595959"/>
      <name val="Arial"/>
      <family val="2"/>
    </font>
    <font>
      <b/>
      <sz val="10"/>
      <color rgb="FF0000FF"/>
      <name val="Arial"/>
      <family val="2"/>
    </font>
    <font>
      <b/>
      <sz val="10"/>
      <color rgb="FF008000"/>
      <name val="Arial"/>
      <family val="2"/>
    </font>
    <font>
      <b/>
      <sz val="10"/>
      <color rgb="FFC55A11"/>
      <name val="Arial"/>
      <family val="2"/>
    </font>
    <font>
      <b/>
      <sz val="10"/>
      <color rgb="FF375623"/>
      <name val="Arial"/>
      <family val="2"/>
    </font>
    <font>
      <b/>
      <sz val="11"/>
      <color rgb="FF000000"/>
      <name val="Arial"/>
      <family val="2"/>
    </font>
    <font>
      <sz val="9"/>
      <color rgb="FFAAAAAA"/>
      <name val="Arial"/>
      <family val="2"/>
    </font>
    <font>
      <b/>
      <sz val="14"/>
      <color rgb="FFFFFFFF"/>
      <name val="Arial"/>
      <family val="2"/>
    </font>
    <font>
      <b/>
      <sz val="9"/>
      <color rgb="FFFFFFFF"/>
      <name val="Arial"/>
      <family val="2"/>
    </font>
    <font>
      <i/>
      <sz val="8"/>
      <color rgb="FF595959"/>
      <name val="Arial"/>
      <family val="2"/>
    </font>
    <font>
      <b/>
      <sz val="9"/>
      <color rgb="FF000000"/>
      <name val="Arial"/>
      <family val="2"/>
    </font>
    <font>
      <sz val="9"/>
      <color rgb="FF008000"/>
      <name val="Arial"/>
      <family val="2"/>
    </font>
    <font>
      <sz val="9"/>
      <color rgb="FF000000"/>
      <name val="Arial"/>
      <family val="2"/>
    </font>
    <font>
      <sz val="12"/>
      <color rgb="FF9C57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0"/>
      <color rgb="FFFF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1F3864"/>
        <bgColor rgb="FF1E4620"/>
      </patternFill>
    </fill>
    <fill>
      <patternFill patternType="solid">
        <fgColor rgb="FF2E5FA3"/>
        <bgColor rgb="FF4F81BD"/>
      </patternFill>
    </fill>
    <fill>
      <patternFill patternType="solid">
        <fgColor rgb="FFD6E4F7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F9F9F9"/>
      </patternFill>
    </fill>
    <fill>
      <patternFill patternType="solid">
        <fgColor rgb="FFFCE4D6"/>
        <bgColor rgb="FFF2F2F2"/>
      </patternFill>
    </fill>
    <fill>
      <patternFill patternType="solid">
        <fgColor rgb="FF375623"/>
        <bgColor rgb="FF1E4620"/>
      </patternFill>
    </fill>
    <fill>
      <patternFill patternType="solid">
        <fgColor rgb="FFC55A11"/>
        <bgColor rgb="FFC0504D"/>
      </patternFill>
    </fill>
    <fill>
      <patternFill patternType="solid">
        <fgColor rgb="FFE2EFDA"/>
        <bgColor rgb="FFF2F2F2"/>
      </patternFill>
    </fill>
    <fill>
      <patternFill patternType="solid">
        <fgColor rgb="FFC00000"/>
        <bgColor rgb="FFFF0000"/>
      </patternFill>
    </fill>
    <fill>
      <patternFill patternType="solid">
        <fgColor rgb="FF7030A0"/>
        <bgColor rgb="FF725990"/>
      </patternFill>
    </fill>
    <fill>
      <patternFill patternType="solid">
        <fgColor rgb="FFFF0000"/>
        <bgColor rgb="FFC00000"/>
      </patternFill>
    </fill>
    <fill>
      <patternFill patternType="solid">
        <fgColor rgb="FFFFC000"/>
        <bgColor rgb="FFFF9900"/>
      </patternFill>
    </fill>
    <fill>
      <patternFill patternType="solid">
        <fgColor rgb="FFFFEB9C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theme="2" tint="-9.9978637043366805E-2"/>
        <bgColor rgb="FF1E4620"/>
      </patternFill>
    </fill>
    <fill>
      <patternFill patternType="solid">
        <fgColor theme="2" tint="-9.9978637043366805E-2"/>
        <bgColor rgb="FF4F81BD"/>
      </patternFill>
    </fill>
    <fill>
      <patternFill patternType="solid">
        <fgColor theme="2" tint="-0.89999084444715716"/>
        <bgColor rgb="FF4F81BD"/>
      </patternFill>
    </fill>
    <fill>
      <patternFill patternType="solid">
        <fgColor theme="2" tint="-0.89999084444715716"/>
        <bgColor rgb="FF1E4620"/>
      </patternFill>
    </fill>
    <fill>
      <patternFill patternType="solid">
        <fgColor theme="2" tint="-0.249977111117893"/>
        <bgColor rgb="FF1E4620"/>
      </patternFill>
    </fill>
    <fill>
      <patternFill patternType="solid">
        <fgColor theme="1"/>
        <bgColor rgb="FF4F81BD"/>
      </patternFill>
    </fill>
    <fill>
      <patternFill patternType="solid">
        <fgColor theme="1"/>
        <bgColor rgb="FF1E4620"/>
      </patternFill>
    </fill>
    <fill>
      <patternFill patternType="solid">
        <fgColor theme="1"/>
        <bgColor rgb="FFC0504D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0" fillId="16" borderId="0" applyNumberFormat="0" applyBorder="0" applyAlignment="0" applyProtection="0"/>
  </cellStyleXfs>
  <cellXfs count="132">
    <xf numFmtId="0" fontId="0" fillId="0" borderId="0" xfId="0"/>
    <xf numFmtId="0" fontId="3" fillId="7" borderId="2" xfId="0" applyFont="1" applyFill="1" applyBorder="1" applyAlignment="1">
      <alignment horizontal="left" vertical="center" indent="2"/>
    </xf>
    <xf numFmtId="0" fontId="3" fillId="6" borderId="2" xfId="0" applyFont="1" applyFill="1" applyBorder="1" applyAlignment="1">
      <alignment horizontal="left" vertical="center" indent="2"/>
    </xf>
    <xf numFmtId="0" fontId="2" fillId="6" borderId="2" xfId="0" applyFont="1" applyFill="1" applyBorder="1" applyAlignment="1">
      <alignment horizontal="left" vertical="center" indent="2"/>
    </xf>
    <xf numFmtId="0" fontId="5" fillId="3" borderId="2" xfId="0" applyFont="1" applyFill="1" applyBorder="1" applyAlignment="1">
      <alignment horizontal="center" vertical="center"/>
    </xf>
    <xf numFmtId="166" fontId="4" fillId="5" borderId="2" xfId="0" applyNumberFormat="1" applyFont="1" applyFill="1" applyBorder="1" applyAlignment="1">
      <alignment horizontal="right" vertical="center"/>
    </xf>
    <xf numFmtId="0" fontId="7" fillId="0" borderId="2" xfId="0" applyFont="1" applyBorder="1" applyAlignment="1">
      <alignment horizontal="left" vertical="center" wrapText="1" indent="1"/>
    </xf>
    <xf numFmtId="167" fontId="4" fillId="6" borderId="2" xfId="0" applyNumberFormat="1" applyFont="1" applyFill="1" applyBorder="1" applyAlignment="1">
      <alignment horizontal="right" vertical="center"/>
    </xf>
    <xf numFmtId="166" fontId="3" fillId="7" borderId="2" xfId="0" applyNumberFormat="1" applyFont="1" applyFill="1" applyBorder="1" applyAlignment="1">
      <alignment horizontal="right" vertical="center"/>
    </xf>
    <xf numFmtId="166" fontId="4" fillId="6" borderId="2" xfId="0" applyNumberFormat="1" applyFont="1" applyFill="1" applyBorder="1" applyAlignment="1">
      <alignment horizontal="right" vertical="center"/>
    </xf>
    <xf numFmtId="165" fontId="4" fillId="5" borderId="2" xfId="0" applyNumberFormat="1" applyFont="1" applyFill="1" applyBorder="1" applyAlignment="1">
      <alignment horizontal="right" vertical="center"/>
    </xf>
    <xf numFmtId="49" fontId="4" fillId="7" borderId="2" xfId="0" applyNumberFormat="1" applyFont="1" applyFill="1" applyBorder="1" applyAlignment="1">
      <alignment horizontal="right" vertical="center"/>
    </xf>
    <xf numFmtId="165" fontId="4" fillId="6" borderId="2" xfId="0" applyNumberFormat="1" applyFont="1" applyFill="1" applyBorder="1" applyAlignment="1">
      <alignment horizontal="right" vertical="center"/>
    </xf>
    <xf numFmtId="165" fontId="4" fillId="7" borderId="2" xfId="0" applyNumberFormat="1" applyFont="1" applyFill="1" applyBorder="1" applyAlignment="1">
      <alignment horizontal="right" vertical="center"/>
    </xf>
    <xf numFmtId="166" fontId="4" fillId="7" borderId="2" xfId="0" applyNumberFormat="1" applyFont="1" applyFill="1" applyBorder="1" applyAlignment="1">
      <alignment horizontal="right" vertical="center"/>
    </xf>
    <xf numFmtId="167" fontId="4" fillId="5" borderId="2" xfId="0" applyNumberFormat="1" applyFont="1" applyFill="1" applyBorder="1" applyAlignment="1">
      <alignment horizontal="right" vertical="center"/>
    </xf>
    <xf numFmtId="166" fontId="3" fillId="6" borderId="2" xfId="0" applyNumberFormat="1" applyFont="1" applyFill="1" applyBorder="1" applyAlignment="1">
      <alignment horizontal="right" vertical="center"/>
    </xf>
    <xf numFmtId="166" fontId="3" fillId="5" borderId="2" xfId="0" applyNumberFormat="1" applyFont="1" applyFill="1" applyBorder="1" applyAlignment="1">
      <alignment horizontal="right" vertical="center"/>
    </xf>
    <xf numFmtId="166" fontId="2" fillId="5" borderId="2" xfId="0" applyNumberFormat="1" applyFont="1" applyFill="1" applyBorder="1" applyAlignment="1">
      <alignment horizontal="right" vertical="center"/>
    </xf>
    <xf numFmtId="167" fontId="4" fillId="7" borderId="2" xfId="0" applyNumberFormat="1" applyFont="1" applyFill="1" applyBorder="1" applyAlignment="1">
      <alignment horizontal="right" vertical="center"/>
    </xf>
    <xf numFmtId="0" fontId="4" fillId="6" borderId="2" xfId="0" applyFont="1" applyFill="1" applyBorder="1" applyAlignment="1">
      <alignment horizontal="right" vertical="center"/>
    </xf>
    <xf numFmtId="0" fontId="2" fillId="7" borderId="2" xfId="0" applyFont="1" applyFill="1" applyBorder="1" applyAlignment="1">
      <alignment horizontal="left" vertical="center" indent="2"/>
    </xf>
    <xf numFmtId="167" fontId="3" fillId="6" borderId="2" xfId="0" applyNumberFormat="1" applyFont="1" applyFill="1" applyBorder="1" applyAlignment="1">
      <alignment horizontal="right" vertical="center"/>
    </xf>
    <xf numFmtId="167" fontId="3" fillId="7" borderId="2" xfId="0" applyNumberFormat="1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center" vertical="center"/>
    </xf>
    <xf numFmtId="166" fontId="2" fillId="7" borderId="2" xfId="0" applyNumberFormat="1" applyFont="1" applyFill="1" applyBorder="1" applyAlignment="1">
      <alignment horizontal="right" vertical="center"/>
    </xf>
    <xf numFmtId="166" fontId="10" fillId="8" borderId="2" xfId="0" applyNumberFormat="1" applyFont="1" applyFill="1" applyBorder="1" applyAlignment="1">
      <alignment horizontal="right" vertical="center"/>
    </xf>
    <xf numFmtId="166" fontId="2" fillId="6" borderId="2" xfId="0" applyNumberFormat="1" applyFont="1" applyFill="1" applyBorder="1" applyAlignment="1">
      <alignment horizontal="right" vertical="center"/>
    </xf>
    <xf numFmtId="166" fontId="11" fillId="11" borderId="2" xfId="0" applyNumberFormat="1" applyFont="1" applyFill="1" applyBorder="1" applyAlignment="1">
      <alignment horizontal="right" vertical="center"/>
    </xf>
    <xf numFmtId="166" fontId="6" fillId="5" borderId="2" xfId="0" applyNumberFormat="1" applyFont="1" applyFill="1" applyBorder="1" applyAlignment="1">
      <alignment horizontal="right" vertical="center"/>
    </xf>
    <xf numFmtId="0" fontId="2" fillId="7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left" vertical="center" wrapText="1" indent="1"/>
    </xf>
    <xf numFmtId="0" fontId="2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 wrapText="1" indent="1"/>
    </xf>
    <xf numFmtId="0" fontId="5" fillId="9" borderId="2" xfId="0" applyFont="1" applyFill="1" applyBorder="1" applyAlignment="1">
      <alignment horizontal="center" vertical="center"/>
    </xf>
    <xf numFmtId="167" fontId="2" fillId="5" borderId="2" xfId="0" applyNumberFormat="1" applyFont="1" applyFill="1" applyBorder="1" applyAlignment="1">
      <alignment horizontal="right" vertical="center"/>
    </xf>
    <xf numFmtId="167" fontId="2" fillId="6" borderId="2" xfId="0" applyNumberFormat="1" applyFont="1" applyFill="1" applyBorder="1" applyAlignment="1">
      <alignment horizontal="right" vertical="center"/>
    </xf>
    <xf numFmtId="168" fontId="2" fillId="5" borderId="2" xfId="0" applyNumberFormat="1" applyFont="1" applyFill="1" applyBorder="1" applyAlignment="1">
      <alignment horizontal="right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169" fontId="3" fillId="6" borderId="2" xfId="0" applyNumberFormat="1" applyFont="1" applyFill="1" applyBorder="1" applyAlignment="1">
      <alignment horizontal="right" vertical="center"/>
    </xf>
    <xf numFmtId="49" fontId="3" fillId="7" borderId="2" xfId="0" applyNumberFormat="1" applyFont="1" applyFill="1" applyBorder="1" applyAlignment="1">
      <alignment horizontal="right" vertical="center"/>
    </xf>
    <xf numFmtId="49" fontId="2" fillId="5" borderId="2" xfId="0" applyNumberFormat="1" applyFont="1" applyFill="1" applyBorder="1" applyAlignment="1">
      <alignment horizontal="right" vertical="center"/>
    </xf>
    <xf numFmtId="0" fontId="7" fillId="0" borderId="2" xfId="0" applyFont="1" applyBorder="1" applyAlignment="1">
      <alignment horizontal="left" vertical="center" indent="1"/>
    </xf>
    <xf numFmtId="0" fontId="13" fillId="0" borderId="0" xfId="0" applyFont="1"/>
    <xf numFmtId="166" fontId="0" fillId="0" borderId="0" xfId="0" applyNumberFormat="1"/>
    <xf numFmtId="0" fontId="5" fillId="3" borderId="2" xfId="0" applyFont="1" applyFill="1" applyBorder="1" applyAlignment="1">
      <alignment horizontal="left" vertical="center" indent="2"/>
    </xf>
    <xf numFmtId="167" fontId="2" fillId="7" borderId="2" xfId="0" applyNumberFormat="1" applyFont="1" applyFill="1" applyBorder="1" applyAlignment="1">
      <alignment horizontal="right" vertical="center"/>
    </xf>
    <xf numFmtId="168" fontId="3" fillId="7" borderId="2" xfId="0" applyNumberFormat="1" applyFont="1" applyFill="1" applyBorder="1" applyAlignment="1">
      <alignment horizontal="right" vertical="center"/>
    </xf>
    <xf numFmtId="0" fontId="5" fillId="10" borderId="2" xfId="0" applyFont="1" applyFill="1" applyBorder="1" applyAlignment="1">
      <alignment horizontal="left" vertical="center" indent="2"/>
    </xf>
    <xf numFmtId="168" fontId="3" fillId="6" borderId="2" xfId="0" applyNumberFormat="1" applyFont="1" applyFill="1" applyBorder="1" applyAlignment="1">
      <alignment horizontal="right" vertical="center"/>
    </xf>
    <xf numFmtId="0" fontId="5" fillId="12" borderId="2" xfId="0" applyFont="1" applyFill="1" applyBorder="1" applyAlignment="1">
      <alignment horizontal="left" vertical="center" indent="2"/>
    </xf>
    <xf numFmtId="0" fontId="5" fillId="13" borderId="2" xfId="0" applyFont="1" applyFill="1" applyBorder="1" applyAlignment="1">
      <alignment horizontal="left" vertical="center" indent="2"/>
    </xf>
    <xf numFmtId="167" fontId="3" fillId="11" borderId="2" xfId="0" applyNumberFormat="1" applyFont="1" applyFill="1" applyBorder="1" applyAlignment="1">
      <alignment horizontal="right" vertical="center"/>
    </xf>
    <xf numFmtId="167" fontId="7" fillId="11" borderId="2" xfId="0" applyNumberFormat="1" applyFont="1" applyFill="1" applyBorder="1" applyAlignment="1">
      <alignment horizontal="left" vertical="center" wrapText="1" indent="1"/>
    </xf>
    <xf numFmtId="0" fontId="5" fillId="12" borderId="2" xfId="0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center" vertical="center"/>
    </xf>
    <xf numFmtId="168" fontId="2" fillId="6" borderId="2" xfId="0" applyNumberFormat="1" applyFont="1" applyFill="1" applyBorder="1" applyAlignment="1">
      <alignment horizontal="right" vertical="center"/>
    </xf>
    <xf numFmtId="0" fontId="7" fillId="6" borderId="2" xfId="0" applyFont="1" applyFill="1" applyBorder="1" applyAlignment="1">
      <alignment horizontal="left" vertical="center" indent="1"/>
    </xf>
    <xf numFmtId="168" fontId="2" fillId="7" borderId="2" xfId="0" applyNumberFormat="1" applyFont="1" applyFill="1" applyBorder="1" applyAlignment="1">
      <alignment horizontal="right" vertical="center"/>
    </xf>
    <xf numFmtId="0" fontId="7" fillId="7" borderId="2" xfId="0" applyFont="1" applyFill="1" applyBorder="1" applyAlignment="1">
      <alignment horizontal="left" vertical="center" indent="1"/>
    </xf>
    <xf numFmtId="49" fontId="2" fillId="7" borderId="2" xfId="0" applyNumberFormat="1" applyFont="1" applyFill="1" applyBorder="1" applyAlignment="1">
      <alignment horizontal="right" vertical="center"/>
    </xf>
    <xf numFmtId="0" fontId="2" fillId="7" borderId="2" xfId="0" applyFont="1" applyFill="1" applyBorder="1" applyAlignment="1">
      <alignment horizontal="right" vertical="center"/>
    </xf>
    <xf numFmtId="0" fontId="2" fillId="6" borderId="2" xfId="0" applyFont="1" applyFill="1" applyBorder="1" applyAlignment="1">
      <alignment horizontal="right" vertical="center"/>
    </xf>
    <xf numFmtId="49" fontId="2" fillId="6" borderId="2" xfId="0" applyNumberFormat="1" applyFont="1" applyFill="1" applyBorder="1" applyAlignment="1">
      <alignment horizontal="right" vertical="center"/>
    </xf>
    <xf numFmtId="0" fontId="17" fillId="4" borderId="2" xfId="0" applyFont="1" applyFill="1" applyBorder="1" applyAlignment="1">
      <alignment horizontal="left" vertical="center" indent="1"/>
    </xf>
    <xf numFmtId="166" fontId="18" fillId="6" borderId="2" xfId="0" applyNumberFormat="1" applyFont="1" applyFill="1" applyBorder="1" applyAlignment="1">
      <alignment horizontal="right" vertical="center"/>
    </xf>
    <xf numFmtId="166" fontId="18" fillId="7" borderId="2" xfId="0" applyNumberFormat="1" applyFont="1" applyFill="1" applyBorder="1" applyAlignment="1">
      <alignment horizontal="right" vertical="center"/>
    </xf>
    <xf numFmtId="0" fontId="19" fillId="6" borderId="2" xfId="0" applyFont="1" applyFill="1" applyBorder="1" applyAlignment="1">
      <alignment horizontal="left" vertical="center" indent="1"/>
    </xf>
    <xf numFmtId="167" fontId="18" fillId="6" borderId="2" xfId="0" applyNumberFormat="1" applyFont="1" applyFill="1" applyBorder="1" applyAlignment="1">
      <alignment horizontal="right" vertical="center"/>
    </xf>
    <xf numFmtId="168" fontId="18" fillId="6" borderId="2" xfId="0" applyNumberFormat="1" applyFont="1" applyFill="1" applyBorder="1" applyAlignment="1">
      <alignment horizontal="right" vertical="center"/>
    </xf>
    <xf numFmtId="0" fontId="19" fillId="7" borderId="2" xfId="0" applyFont="1" applyFill="1" applyBorder="1" applyAlignment="1">
      <alignment horizontal="left" vertical="center" indent="1"/>
    </xf>
    <xf numFmtId="167" fontId="18" fillId="7" borderId="2" xfId="0" applyNumberFormat="1" applyFont="1" applyFill="1" applyBorder="1" applyAlignment="1">
      <alignment horizontal="right" vertical="center"/>
    </xf>
    <xf numFmtId="168" fontId="18" fillId="7" borderId="2" xfId="0" applyNumberFormat="1" applyFont="1" applyFill="1" applyBorder="1" applyAlignment="1">
      <alignment horizontal="right" vertical="center"/>
    </xf>
    <xf numFmtId="0" fontId="3" fillId="7" borderId="5" xfId="0" applyFont="1" applyFill="1" applyBorder="1" applyAlignment="1">
      <alignment horizontal="left" vertical="center" indent="2"/>
    </xf>
    <xf numFmtId="0" fontId="6" fillId="7" borderId="5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left" vertical="center" indent="2"/>
    </xf>
    <xf numFmtId="0" fontId="6" fillId="6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indent="2"/>
    </xf>
    <xf numFmtId="0" fontId="2" fillId="0" borderId="0" xfId="0" applyFont="1" applyAlignment="1">
      <alignment horizontal="left" vertical="center" indent="2"/>
    </xf>
    <xf numFmtId="0" fontId="9" fillId="0" borderId="0" xfId="0" applyFont="1" applyAlignment="1">
      <alignment horizontal="left" vertical="center" indent="2"/>
    </xf>
    <xf numFmtId="0" fontId="5" fillId="20" borderId="2" xfId="0" applyFont="1" applyFill="1" applyBorder="1" applyAlignment="1">
      <alignment horizontal="center" vertical="center"/>
    </xf>
    <xf numFmtId="0" fontId="5" fillId="23" borderId="2" xfId="0" applyFont="1" applyFill="1" applyBorder="1" applyAlignment="1">
      <alignment horizontal="center" vertical="center"/>
    </xf>
    <xf numFmtId="0" fontId="5" fillId="23" borderId="2" xfId="0" applyFont="1" applyFill="1" applyBorder="1" applyAlignment="1">
      <alignment horizontal="center" vertical="center" wrapText="1"/>
    </xf>
    <xf numFmtId="0" fontId="5" fillId="24" borderId="2" xfId="0" applyFont="1" applyFill="1" applyBorder="1" applyAlignment="1">
      <alignment horizontal="center" vertical="center" wrapText="1"/>
    </xf>
    <xf numFmtId="0" fontId="5" fillId="25" borderId="2" xfId="0" applyFont="1" applyFill="1" applyBorder="1" applyAlignment="1">
      <alignment horizontal="center" vertical="center" wrapText="1"/>
    </xf>
    <xf numFmtId="0" fontId="5" fillId="24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indent="2"/>
    </xf>
    <xf numFmtId="167" fontId="3" fillId="26" borderId="2" xfId="0" applyNumberFormat="1" applyFont="1" applyFill="1" applyBorder="1" applyAlignment="1">
      <alignment horizontal="right" vertical="center"/>
    </xf>
    <xf numFmtId="0" fontId="20" fillId="16" borderId="2" xfId="1" applyBorder="1" applyAlignment="1">
      <alignment horizontal="left" vertical="top" wrapText="1" indent="2"/>
    </xf>
    <xf numFmtId="0" fontId="21" fillId="16" borderId="4" xfId="1" applyFont="1" applyBorder="1" applyAlignment="1">
      <alignment horizontal="left" vertical="center" indent="2"/>
    </xf>
    <xf numFmtId="0" fontId="26" fillId="16" borderId="4" xfId="1" applyFont="1" applyBorder="1" applyAlignment="1">
      <alignment horizontal="center" vertical="center"/>
    </xf>
    <xf numFmtId="0" fontId="26" fillId="16" borderId="4" xfId="1" applyFont="1" applyBorder="1" applyAlignment="1">
      <alignment horizontal="left" vertical="center" indent="2"/>
    </xf>
    <xf numFmtId="0" fontId="20" fillId="0" borderId="0" xfId="1" applyFill="1" applyBorder="1" applyAlignment="1">
      <alignment horizontal="left" vertical="center" indent="2"/>
    </xf>
    <xf numFmtId="0" fontId="20" fillId="0" borderId="0" xfId="1" applyFill="1" applyBorder="1" applyAlignment="1">
      <alignment horizontal="left" vertical="top" wrapText="1" indent="2"/>
    </xf>
    <xf numFmtId="0" fontId="3" fillId="0" borderId="0" xfId="0" applyFont="1" applyAlignment="1">
      <alignment horizontal="left" vertical="center" indent="1"/>
    </xf>
    <xf numFmtId="0" fontId="7" fillId="0" borderId="5" xfId="0" applyFont="1" applyBorder="1" applyAlignment="1">
      <alignment horizontal="left" vertical="center" wrapText="1" indent="1"/>
    </xf>
    <xf numFmtId="0" fontId="5" fillId="0" borderId="0" xfId="0" applyFont="1" applyAlignment="1">
      <alignment horizontal="left" vertical="center" indent="1"/>
    </xf>
    <xf numFmtId="0" fontId="2" fillId="17" borderId="5" xfId="0" applyFont="1" applyFill="1" applyBorder="1" applyAlignment="1">
      <alignment horizontal="left" vertical="center" indent="2"/>
    </xf>
    <xf numFmtId="0" fontId="3" fillId="6" borderId="5" xfId="0" applyFont="1" applyFill="1" applyBorder="1" applyAlignment="1">
      <alignment horizontal="left" vertical="center" indent="2"/>
    </xf>
    <xf numFmtId="0" fontId="24" fillId="18" borderId="5" xfId="0" applyFont="1" applyFill="1" applyBorder="1" applyAlignment="1">
      <alignment horizontal="left" vertical="center" indent="1"/>
    </xf>
    <xf numFmtId="164" fontId="3" fillId="6" borderId="5" xfId="0" applyNumberFormat="1" applyFont="1" applyFill="1" applyBorder="1" applyAlignment="1">
      <alignment horizontal="left" vertical="center" indent="2"/>
    </xf>
    <xf numFmtId="165" fontId="4" fillId="6" borderId="5" xfId="0" applyNumberFormat="1" applyFont="1" applyFill="1" applyBorder="1" applyAlignment="1">
      <alignment horizontal="left" vertical="center" indent="2"/>
    </xf>
    <xf numFmtId="0" fontId="2" fillId="0" borderId="0" xfId="0" applyFont="1" applyAlignment="1">
      <alignment horizontal="left" vertical="center" indent="2"/>
    </xf>
    <xf numFmtId="0" fontId="3" fillId="0" borderId="0" xfId="0" applyFont="1" applyAlignment="1">
      <alignment horizontal="left" vertical="center" indent="2"/>
    </xf>
    <xf numFmtId="0" fontId="3" fillId="0" borderId="5" xfId="0" applyFont="1" applyBorder="1" applyAlignment="1">
      <alignment horizontal="left" vertical="center" indent="2"/>
    </xf>
    <xf numFmtId="0" fontId="22" fillId="18" borderId="0" xfId="0" applyFont="1" applyFill="1" applyAlignment="1">
      <alignment horizontal="center" vertical="center"/>
    </xf>
    <xf numFmtId="0" fontId="23" fillId="19" borderId="0" xfId="0" applyFont="1" applyFill="1" applyAlignment="1">
      <alignment horizontal="center" vertical="center"/>
    </xf>
    <xf numFmtId="0" fontId="0" fillId="2" borderId="0" xfId="0" applyFill="1"/>
    <xf numFmtId="0" fontId="24" fillId="18" borderId="1" xfId="0" applyFont="1" applyFill="1" applyBorder="1" applyAlignment="1">
      <alignment horizontal="left" vertical="center" indent="1"/>
    </xf>
    <xf numFmtId="0" fontId="25" fillId="18" borderId="0" xfId="0" applyFont="1" applyFill="1" applyAlignment="1">
      <alignment horizontal="center" vertical="center"/>
    </xf>
    <xf numFmtId="0" fontId="25" fillId="22" borderId="0" xfId="0" applyFont="1" applyFill="1" applyAlignment="1">
      <alignment horizontal="center" vertical="center"/>
    </xf>
    <xf numFmtId="0" fontId="24" fillId="22" borderId="1" xfId="0" applyFont="1" applyFill="1" applyBorder="1" applyAlignment="1">
      <alignment horizontal="left" vertical="center" indent="1"/>
    </xf>
    <xf numFmtId="0" fontId="12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 indent="1"/>
    </xf>
    <xf numFmtId="0" fontId="7" fillId="0" borderId="0" xfId="0" applyFont="1"/>
    <xf numFmtId="0" fontId="5" fillId="21" borderId="1" xfId="0" applyFont="1" applyFill="1" applyBorder="1" applyAlignment="1">
      <alignment horizontal="left" vertical="center" indent="1"/>
    </xf>
    <xf numFmtId="0" fontId="5" fillId="20" borderId="1" xfId="0" applyFont="1" applyFill="1" applyBorder="1" applyAlignment="1">
      <alignment horizontal="left" vertical="center" indent="1"/>
    </xf>
    <xf numFmtId="169" fontId="1" fillId="10" borderId="3" xfId="0" applyNumberFormat="1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166" fontId="1" fillId="3" borderId="3" xfId="0" applyNumberFormat="1" applyFont="1" applyFill="1" applyBorder="1" applyAlignment="1">
      <alignment horizontal="center" vertical="center"/>
    </xf>
    <xf numFmtId="166" fontId="1" fillId="9" borderId="3" xfId="0" applyNumberFormat="1" applyFont="1" applyFill="1" applyBorder="1" applyAlignment="1">
      <alignment horizontal="center" vertical="center"/>
    </xf>
    <xf numFmtId="167" fontId="1" fillId="2" borderId="3" xfId="0" applyNumberFormat="1" applyFont="1" applyFill="1" applyBorder="1" applyAlignment="1">
      <alignment horizontal="center" vertical="center"/>
    </xf>
    <xf numFmtId="168" fontId="1" fillId="9" borderId="3" xfId="0" applyNumberFormat="1" applyFont="1" applyFill="1" applyBorder="1" applyAlignment="1">
      <alignment horizontal="center" vertical="center"/>
    </xf>
    <xf numFmtId="0" fontId="14" fillId="21" borderId="0" xfId="0" applyFont="1" applyFill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27" fillId="0" borderId="0" xfId="0" applyFont="1" applyAlignment="1">
      <alignment horizontal="left" vertical="center" indent="2"/>
    </xf>
    <xf numFmtId="0" fontId="3" fillId="0" borderId="0" xfId="0" applyFont="1" applyAlignment="1">
      <alignment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AA64F"/>
      <rgbColor rgb="FF7D5FA0"/>
      <rgbColor rgb="FF008080"/>
      <rgbColor rgb="FFBBBBBB"/>
      <rgbColor rgb="FF878787"/>
      <rgbColor rgb="FF93A9CE"/>
      <rgbColor rgb="FFBE4B48"/>
      <rgbColor rgb="FFF9F9F9"/>
      <rgbColor rgb="FFD6E4F7"/>
      <rgbColor rgb="FF660066"/>
      <rgbColor rgb="FFDC853E"/>
      <rgbColor rgb="FF2E5FA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BBB59"/>
      <rgbColor rgb="FFD09493"/>
      <rgbColor rgb="FF8064A2"/>
      <rgbColor rgb="FFFCE4D6"/>
      <rgbColor rgb="FF4F81BD"/>
      <rgbColor rgb="FF33CCCC"/>
      <rgbColor rgb="FF98B855"/>
      <rgbColor rgb="FFFFC000"/>
      <rgbColor rgb="FFFF9900"/>
      <rgbColor rgb="FFC55A11"/>
      <rgbColor rgb="FF725990"/>
      <rgbColor rgb="FFAAAAAA"/>
      <rgbColor rgb="FF1F3864"/>
      <rgbColor rgb="FF4299B0"/>
      <rgbColor rgb="FF003300"/>
      <rgbColor rgb="FF375623"/>
      <rgbColor rgb="FFC0504D"/>
      <rgbColor rgb="FF7030A0"/>
      <rgbColor rgb="FF595959"/>
      <rgbColor rgb="FF1E46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Development Cash Flow by Year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Net Cash Flow ($)</c:v>
          </c:tx>
          <c:spPr>
            <a:solidFill>
              <a:srgbClr val="2E5FA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Dashboard!$C$11:$F$11</c:f>
              <c:strCache>
                <c:ptCount val="4"/>
                <c:pt idx="0">
                  <c:v>Year 0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</c:strCache>
            </c:strRef>
          </c:cat>
          <c:val>
            <c:numRef>
              <c:f>Dashboard!$C$12</c:f>
              <c:numCache>
                <c:formatCode>\$#,##0;"($"#,##0\);\-</c:formatCode>
                <c:ptCount val="1"/>
                <c:pt idx="0">
                  <c:v>-1351000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50-C947-8C4C-57C14B9EE208}"/>
            </c:ext>
          </c:extLst>
        </c:ser>
        <c:ser>
          <c:idx val="1"/>
          <c:order val="1"/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Dashboard!$C$11:$F$11</c:f>
              <c:strCache>
                <c:ptCount val="4"/>
                <c:pt idx="0">
                  <c:v>Year 0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</c:strCache>
            </c:strRef>
          </c:cat>
          <c:val>
            <c:numRef>
              <c:f>Dashboard!$D$12</c:f>
              <c:numCache>
                <c:formatCode>\$#,##0;"($"#,##0\);\-</c:formatCode>
                <c:ptCount val="1"/>
                <c:pt idx="0">
                  <c:v>-221000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50-C947-8C4C-57C14B9EE208}"/>
            </c:ext>
          </c:extLst>
        </c:ser>
        <c:ser>
          <c:idx val="2"/>
          <c:order val="2"/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Dashboard!$C$11:$F$11</c:f>
              <c:strCache>
                <c:ptCount val="4"/>
                <c:pt idx="0">
                  <c:v>Year 0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</c:strCache>
            </c:strRef>
          </c:cat>
          <c:val>
            <c:numRef>
              <c:f>Dashboard!$E$12</c:f>
              <c:numCache>
                <c:formatCode>\$#,##0;"($"#,##0\);\-</c:formatCode>
                <c:ptCount val="1"/>
                <c:pt idx="0">
                  <c:v>-780000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50-C947-8C4C-57C14B9EE208}"/>
            </c:ext>
          </c:extLst>
        </c:ser>
        <c:ser>
          <c:idx val="3"/>
          <c:order val="3"/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Dashboard!$C$11:$F$11</c:f>
              <c:strCache>
                <c:ptCount val="4"/>
                <c:pt idx="0">
                  <c:v>Year 0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</c:strCache>
            </c:strRef>
          </c:cat>
          <c:val>
            <c:numRef>
              <c:f>Dashboard!$F$12</c:f>
              <c:numCache>
                <c:formatCode>\$#,##0;"($"#,##0\);\-</c:formatCode>
                <c:ptCount val="1"/>
                <c:pt idx="0">
                  <c:v>2074800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50-C947-8C4C-57C14B9EE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1792"/>
        <c:axId val="90034149"/>
      </c:barChart>
      <c:catAx>
        <c:axId val="20617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034149"/>
        <c:crosses val="autoZero"/>
        <c:auto val="1"/>
        <c:lblAlgn val="ctr"/>
        <c:lblOffset val="100"/>
        <c:noMultiLvlLbl val="0"/>
      </c:catAx>
      <c:valAx>
        <c:axId val="900341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AUD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617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Development Margin (%) by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Dashboard!$C$18</c:f>
              <c:strCache>
                <c:ptCount val="1"/>
                <c:pt idx="0">
                  <c:v>Dev Margin (%)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2E5FA3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05FD-B94C-BA3D-E9F0156F241A}"/>
              </c:ext>
            </c:extLst>
          </c:dPt>
          <c:dPt>
            <c:idx val="1"/>
            <c:invertIfNegative val="0"/>
            <c:bubble3D val="0"/>
            <c:spPr>
              <a:solidFill>
                <a:srgbClr val="C55A11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05FD-B94C-BA3D-E9F0156F241A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05FD-B94C-BA3D-E9F0156F241A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05FD-B94C-BA3D-E9F0156F241A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05FD-B94C-BA3D-E9F0156F241A}"/>
              </c:ext>
            </c:extLst>
          </c:dPt>
          <c:dPt>
            <c:idx val="5"/>
            <c:invertIfNegative val="0"/>
            <c:bubble3D val="0"/>
            <c:spPr>
              <a:solidFill>
                <a:srgbClr val="7030A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05FD-B94C-BA3D-E9F0156F241A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5FD-B94C-BA3D-E9F0156F241A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5FD-B94C-BA3D-E9F0156F241A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5FD-B94C-BA3D-E9F0156F241A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5FD-B94C-BA3D-E9F0156F241A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5FD-B94C-BA3D-E9F0156F241A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5FD-B94C-BA3D-E9F0156F24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Dashboard!$B$19:$B$24</c:f>
              <c:strCache>
                <c:ptCount val="6"/>
                <c:pt idx="0">
                  <c:v>Base Case</c:v>
                </c:pt>
                <c:pt idx="1">
                  <c:v>Cost +10%</c:v>
                </c:pt>
                <c:pt idx="2">
                  <c:v>Cost +20%</c:v>
                </c:pt>
                <c:pt idx="3">
                  <c:v>Price -10%</c:v>
                </c:pt>
                <c:pt idx="4">
                  <c:v>Combined</c:v>
                </c:pt>
                <c:pt idx="5">
                  <c:v>1-Yr Delay</c:v>
                </c:pt>
              </c:strCache>
            </c:strRef>
          </c:cat>
          <c:val>
            <c:numRef>
              <c:f>Dashboard!$C$19:$C$24</c:f>
              <c:numCache>
                <c:formatCode>0.0%;\(0.0%\);\-</c:formatCode>
                <c:ptCount val="6"/>
                <c:pt idx="0">
                  <c:v>3786000</c:v>
                </c:pt>
                <c:pt idx="1">
                  <c:v>4016000</c:v>
                </c:pt>
                <c:pt idx="2">
                  <c:v>4246000</c:v>
                </c:pt>
                <c:pt idx="3">
                  <c:v>3786000</c:v>
                </c:pt>
                <c:pt idx="4">
                  <c:v>4016000</c:v>
                </c:pt>
                <c:pt idx="5">
                  <c:v>3786000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5FD-B94C-BA3D-E9F0156F2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429360"/>
        <c:axId val="26859317"/>
      </c:barChart>
      <c:catAx>
        <c:axId val="504293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Scenario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859317"/>
        <c:crosses val="autoZero"/>
        <c:auto val="1"/>
        <c:lblAlgn val="ctr"/>
        <c:lblOffset val="100"/>
        <c:noMultiLvlLbl val="0"/>
      </c:catAx>
      <c:valAx>
        <c:axId val="268593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Dev Margin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;\(0.0%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293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Cumulative CF ($ Break even Tracker)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Dashboard!$B$15</c:f>
              <c:strCache>
                <c:ptCount val="1"/>
                <c:pt idx="0">
                  <c:v>Cumulative CF ($)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Dashboard!$C$11:$F$11</c:f>
              <c:strCache>
                <c:ptCount val="4"/>
                <c:pt idx="0">
                  <c:v>Year 0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</c:strCache>
            </c:strRef>
          </c:cat>
          <c:val>
            <c:numRef>
              <c:f>Dashboard!$C$15:$F$15</c:f>
              <c:numCache>
                <c:formatCode>\$#,##0;"($"#,##0\);\-</c:formatCode>
                <c:ptCount val="4"/>
                <c:pt idx="0">
                  <c:v>-1351000</c:v>
                </c:pt>
                <c:pt idx="1">
                  <c:v>-1572000</c:v>
                </c:pt>
                <c:pt idx="2">
                  <c:v>-2352000</c:v>
                </c:pt>
                <c:pt idx="3">
                  <c:v>-277200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8D-2B4A-AB9A-9D6D14014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3924736"/>
        <c:axId val="1473926448"/>
      </c:lineChart>
      <c:catAx>
        <c:axId val="147392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926448"/>
        <c:crosses val="autoZero"/>
        <c:auto val="1"/>
        <c:lblAlgn val="ctr"/>
        <c:lblOffset val="100"/>
        <c:noMultiLvlLbl val="0"/>
      </c:catAx>
      <c:valAx>
        <c:axId val="147392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;&quot;($&quot;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924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67733</xdr:colOff>
      <xdr:row>26</xdr:row>
      <xdr:rowOff>110066</xdr:rowOff>
    </xdr:from>
    <xdr:to>
      <xdr:col>6</xdr:col>
      <xdr:colOff>610973</xdr:colOff>
      <xdr:row>47</xdr:row>
      <xdr:rowOff>68966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110067</xdr:colOff>
      <xdr:row>50</xdr:row>
      <xdr:rowOff>131233</xdr:rowOff>
    </xdr:from>
    <xdr:to>
      <xdr:col>6</xdr:col>
      <xdr:colOff>653307</xdr:colOff>
      <xdr:row>71</xdr:row>
      <xdr:rowOff>90133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328084</xdr:colOff>
      <xdr:row>26</xdr:row>
      <xdr:rowOff>107950</xdr:rowOff>
    </xdr:from>
    <xdr:to>
      <xdr:col>16</xdr:col>
      <xdr:colOff>105834</xdr:colOff>
      <xdr:row>47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78C9C8-5AC6-C8A4-D95A-34B4C0904C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2:E31"/>
  <sheetViews>
    <sheetView showGridLines="0" zoomScaleNormal="100" workbookViewId="0">
      <selection activeCell="H25" sqref="H25"/>
    </sheetView>
  </sheetViews>
  <sheetFormatPr baseColWidth="10" defaultColWidth="8.6640625" defaultRowHeight="15" x14ac:dyDescent="0.2"/>
  <cols>
    <col min="1" max="1" width="4" customWidth="1"/>
    <col min="2" max="2" width="35" customWidth="1"/>
    <col min="3" max="3" width="30" customWidth="1"/>
    <col min="4" max="5" width="20" customWidth="1"/>
  </cols>
  <sheetData>
    <row r="2" spans="2:5" ht="43.5" customHeight="1" x14ac:dyDescent="0.2">
      <c r="B2" s="107" t="s">
        <v>0</v>
      </c>
      <c r="C2" s="107"/>
      <c r="D2" s="107"/>
      <c r="E2" s="107"/>
    </row>
    <row r="3" spans="2:5" ht="19.5" customHeight="1" x14ac:dyDescent="0.2">
      <c r="B3" s="108" t="s">
        <v>1</v>
      </c>
      <c r="C3" s="108"/>
      <c r="D3" s="108"/>
      <c r="E3" s="108"/>
    </row>
    <row r="4" spans="2:5" ht="4.5" customHeight="1" x14ac:dyDescent="0.2">
      <c r="B4" s="109"/>
      <c r="C4" s="109"/>
      <c r="D4" s="109"/>
      <c r="E4" s="109"/>
    </row>
    <row r="6" spans="2:5" ht="18" customHeight="1" x14ac:dyDescent="0.2">
      <c r="B6" s="104"/>
      <c r="C6" s="104"/>
      <c r="D6" s="105"/>
      <c r="E6" s="105"/>
    </row>
    <row r="7" spans="2:5" ht="18" customHeight="1" x14ac:dyDescent="0.2">
      <c r="B7" s="104"/>
      <c r="C7" s="104"/>
      <c r="D7" s="105"/>
      <c r="E7" s="105"/>
    </row>
    <row r="8" spans="2:5" ht="18" customHeight="1" x14ac:dyDescent="0.2">
      <c r="B8" s="104"/>
      <c r="C8" s="104"/>
      <c r="D8" s="105"/>
      <c r="E8" s="105"/>
    </row>
    <row r="9" spans="2:5" ht="18" customHeight="1" x14ac:dyDescent="0.2">
      <c r="B9" s="99" t="s">
        <v>379</v>
      </c>
      <c r="C9" s="99"/>
      <c r="D9" s="106" t="s">
        <v>380</v>
      </c>
      <c r="E9" s="106"/>
    </row>
    <row r="10" spans="2:5" ht="18" customHeight="1" x14ac:dyDescent="0.2">
      <c r="B10" s="99" t="s">
        <v>2</v>
      </c>
      <c r="C10" s="99"/>
      <c r="D10" s="102">
        <f ca="1">TODAY()</f>
        <v>46105</v>
      </c>
      <c r="E10" s="102"/>
    </row>
    <row r="11" spans="2:5" ht="18" customHeight="1" x14ac:dyDescent="0.2">
      <c r="B11" s="99" t="s">
        <v>3</v>
      </c>
      <c r="C11" s="99"/>
      <c r="D11" s="100" t="s">
        <v>4</v>
      </c>
      <c r="E11" s="100"/>
    </row>
    <row r="12" spans="2:5" ht="18" customHeight="1" x14ac:dyDescent="0.2">
      <c r="B12" s="99" t="s">
        <v>5</v>
      </c>
      <c r="C12" s="99"/>
      <c r="D12" s="103">
        <v>6</v>
      </c>
      <c r="E12" s="103"/>
    </row>
    <row r="13" spans="2:5" ht="18" customHeight="1" x14ac:dyDescent="0.2">
      <c r="B13" s="99" t="s">
        <v>6</v>
      </c>
      <c r="C13" s="99"/>
      <c r="D13" s="100" t="s">
        <v>7</v>
      </c>
      <c r="E13" s="100"/>
    </row>
    <row r="14" spans="2:5" ht="18" customHeight="1" x14ac:dyDescent="0.2">
      <c r="B14" s="99" t="s">
        <v>8</v>
      </c>
      <c r="C14" s="99"/>
      <c r="D14" s="100" t="s">
        <v>9</v>
      </c>
      <c r="E14" s="100"/>
    </row>
    <row r="17" spans="2:5" ht="15.75" customHeight="1" x14ac:dyDescent="0.2">
      <c r="B17" s="101" t="s">
        <v>10</v>
      </c>
      <c r="C17" s="101"/>
      <c r="D17" s="101"/>
      <c r="E17" s="101"/>
    </row>
    <row r="18" spans="2:5" ht="15" customHeight="1" x14ac:dyDescent="0.2">
      <c r="B18" s="75" t="s">
        <v>11</v>
      </c>
      <c r="C18" s="76" t="s">
        <v>12</v>
      </c>
      <c r="D18" s="97" t="s">
        <v>13</v>
      </c>
      <c r="E18" s="97"/>
    </row>
    <row r="19" spans="2:5" ht="15" customHeight="1" x14ac:dyDescent="0.2">
      <c r="B19" s="77" t="s">
        <v>14</v>
      </c>
      <c r="C19" s="78" t="s">
        <v>15</v>
      </c>
      <c r="D19" s="97" t="s">
        <v>16</v>
      </c>
      <c r="E19" s="97"/>
    </row>
    <row r="20" spans="2:5" ht="15" customHeight="1" x14ac:dyDescent="0.2">
      <c r="B20" s="75" t="s">
        <v>17</v>
      </c>
      <c r="C20" s="76" t="s">
        <v>18</v>
      </c>
      <c r="D20" s="97" t="s">
        <v>19</v>
      </c>
      <c r="E20" s="97"/>
    </row>
    <row r="21" spans="2:5" ht="15" customHeight="1" x14ac:dyDescent="0.2">
      <c r="B21" s="77" t="s">
        <v>20</v>
      </c>
      <c r="C21" s="78" t="s">
        <v>21</v>
      </c>
      <c r="D21" s="97" t="s">
        <v>22</v>
      </c>
      <c r="E21" s="97"/>
    </row>
    <row r="22" spans="2:5" ht="15" customHeight="1" x14ac:dyDescent="0.2">
      <c r="B22" s="75" t="s">
        <v>23</v>
      </c>
      <c r="C22" s="76" t="s">
        <v>24</v>
      </c>
      <c r="D22" s="97" t="s">
        <v>25</v>
      </c>
      <c r="E22" s="97"/>
    </row>
    <row r="23" spans="2:5" ht="15" customHeight="1" x14ac:dyDescent="0.2">
      <c r="B23" s="77" t="s">
        <v>26</v>
      </c>
      <c r="C23" s="78" t="s">
        <v>27</v>
      </c>
      <c r="D23" s="97" t="s">
        <v>28</v>
      </c>
      <c r="E23" s="97"/>
    </row>
    <row r="24" spans="2:5" ht="15" customHeight="1" x14ac:dyDescent="0.2">
      <c r="B24" s="75" t="s">
        <v>29</v>
      </c>
      <c r="C24" s="76" t="s">
        <v>30</v>
      </c>
      <c r="D24" s="97" t="s">
        <v>31</v>
      </c>
      <c r="E24" s="97"/>
    </row>
    <row r="26" spans="2:5" ht="15.75" customHeight="1" x14ac:dyDescent="0.2">
      <c r="B26" s="98"/>
      <c r="C26" s="98"/>
      <c r="D26" s="98"/>
      <c r="E26" s="98"/>
    </row>
    <row r="27" spans="2:5" ht="15.75" customHeight="1" x14ac:dyDescent="0.2">
      <c r="B27" s="79"/>
      <c r="C27" s="96"/>
      <c r="D27" s="96"/>
      <c r="E27" s="96"/>
    </row>
    <row r="28" spans="2:5" ht="15.75" customHeight="1" x14ac:dyDescent="0.2">
      <c r="B28" s="130" t="s">
        <v>384</v>
      </c>
      <c r="C28" s="131"/>
      <c r="D28" s="131"/>
      <c r="E28" s="131"/>
    </row>
    <row r="29" spans="2:5" ht="15.75" customHeight="1" x14ac:dyDescent="0.2">
      <c r="B29" s="81"/>
      <c r="C29" s="96"/>
      <c r="D29" s="96"/>
      <c r="E29" s="96"/>
    </row>
    <row r="30" spans="2:5" ht="15.75" customHeight="1" x14ac:dyDescent="0.2">
      <c r="B30" s="80"/>
      <c r="C30" s="96"/>
      <c r="D30" s="96"/>
      <c r="E30" s="96"/>
    </row>
    <row r="31" spans="2:5" ht="15.75" customHeight="1" x14ac:dyDescent="0.2">
      <c r="B31" s="80"/>
      <c r="C31" s="96"/>
      <c r="D31" s="96"/>
      <c r="E31" s="96"/>
    </row>
  </sheetData>
  <mergeCells count="34">
    <mergeCell ref="B2:E2"/>
    <mergeCell ref="B3:E3"/>
    <mergeCell ref="B4:E4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7:E17"/>
    <mergeCell ref="D18:E18"/>
    <mergeCell ref="D19:E19"/>
    <mergeCell ref="D20:E20"/>
    <mergeCell ref="D21:E21"/>
    <mergeCell ref="D22:E22"/>
    <mergeCell ref="C29:E29"/>
    <mergeCell ref="C30:E30"/>
    <mergeCell ref="C31:E31"/>
    <mergeCell ref="D23:E23"/>
    <mergeCell ref="D24:E24"/>
    <mergeCell ref="B26:E26"/>
    <mergeCell ref="C27:E2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B1:D51"/>
  <sheetViews>
    <sheetView showGridLines="0" topLeftCell="A11" zoomScaleNormal="100" workbookViewId="0">
      <selection activeCell="E3" sqref="E3"/>
    </sheetView>
  </sheetViews>
  <sheetFormatPr baseColWidth="10" defaultColWidth="8.6640625" defaultRowHeight="15" x14ac:dyDescent="0.2"/>
  <cols>
    <col min="1" max="1" width="4" customWidth="1"/>
    <col min="2" max="2" width="42" customWidth="1"/>
    <col min="3" max="3" width="18" customWidth="1"/>
    <col min="4" max="4" width="38" customWidth="1"/>
  </cols>
  <sheetData>
    <row r="1" spans="2:4" ht="27.75" customHeight="1" x14ac:dyDescent="0.2">
      <c r="B1" s="111" t="s">
        <v>32</v>
      </c>
      <c r="C1" s="111"/>
      <c r="D1" s="111"/>
    </row>
    <row r="2" spans="2:4" ht="15.75" customHeight="1" x14ac:dyDescent="0.2">
      <c r="B2" s="82" t="s">
        <v>33</v>
      </c>
      <c r="C2" s="82" t="s">
        <v>34</v>
      </c>
      <c r="D2" s="82" t="s">
        <v>35</v>
      </c>
    </row>
    <row r="3" spans="2:4" ht="15.75" customHeight="1" x14ac:dyDescent="0.2">
      <c r="B3" s="110" t="s">
        <v>36</v>
      </c>
      <c r="C3" s="110"/>
      <c r="D3" s="110"/>
    </row>
    <row r="4" spans="2:4" ht="15" customHeight="1" x14ac:dyDescent="0.2">
      <c r="B4" s="1" t="s">
        <v>37</v>
      </c>
      <c r="C4" s="5">
        <v>1200000</v>
      </c>
      <c r="D4" s="6" t="s">
        <v>38</v>
      </c>
    </row>
    <row r="5" spans="2:4" ht="15" customHeight="1" x14ac:dyDescent="0.2">
      <c r="B5" s="2" t="s">
        <v>39</v>
      </c>
      <c r="C5" s="7">
        <v>5.5E-2</v>
      </c>
      <c r="D5" s="6" t="s">
        <v>40</v>
      </c>
    </row>
    <row r="6" spans="2:4" ht="15" customHeight="1" x14ac:dyDescent="0.2">
      <c r="B6" s="1" t="s">
        <v>41</v>
      </c>
      <c r="C6" s="8">
        <f>C4*C5</f>
        <v>66000</v>
      </c>
      <c r="D6" s="6" t="s">
        <v>42</v>
      </c>
    </row>
    <row r="7" spans="2:4" ht="15" customHeight="1" x14ac:dyDescent="0.2">
      <c r="B7" s="2" t="s">
        <v>43</v>
      </c>
      <c r="C7" s="9">
        <v>5000</v>
      </c>
      <c r="D7" s="6" t="s">
        <v>44</v>
      </c>
    </row>
    <row r="8" spans="2:4" ht="15" customHeight="1" x14ac:dyDescent="0.2">
      <c r="B8" s="1" t="s">
        <v>45</v>
      </c>
      <c r="C8" s="8">
        <f>C4+C6+C7</f>
        <v>1271000</v>
      </c>
      <c r="D8" s="6" t="s">
        <v>46</v>
      </c>
    </row>
    <row r="9" spans="2:4" ht="15" customHeight="1" x14ac:dyDescent="0.2">
      <c r="B9" s="2" t="s">
        <v>47</v>
      </c>
      <c r="C9" s="10">
        <v>6</v>
      </c>
      <c r="D9" s="6" t="s">
        <v>48</v>
      </c>
    </row>
    <row r="10" spans="2:4" ht="15" customHeight="1" x14ac:dyDescent="0.2">
      <c r="B10" s="1" t="s">
        <v>49</v>
      </c>
      <c r="C10" s="11">
        <v>2025</v>
      </c>
      <c r="D10" s="6" t="s">
        <v>50</v>
      </c>
    </row>
    <row r="11" spans="2:4" ht="15" customHeight="1" x14ac:dyDescent="0.2">
      <c r="B11" s="2" t="s">
        <v>51</v>
      </c>
      <c r="C11" s="12">
        <v>2</v>
      </c>
      <c r="D11" s="6" t="s">
        <v>52</v>
      </c>
    </row>
    <row r="12" spans="2:4" ht="15" customHeight="1" x14ac:dyDescent="0.2">
      <c r="B12" s="1" t="s">
        <v>53</v>
      </c>
      <c r="C12" s="13">
        <v>3</v>
      </c>
      <c r="D12" s="6" t="s">
        <v>54</v>
      </c>
    </row>
    <row r="14" spans="2:4" ht="15.75" customHeight="1" x14ac:dyDescent="0.2">
      <c r="B14" s="110" t="s">
        <v>55</v>
      </c>
      <c r="C14" s="110"/>
      <c r="D14" s="110"/>
    </row>
    <row r="15" spans="2:4" ht="15" customHeight="1" x14ac:dyDescent="0.2">
      <c r="B15" s="2" t="s">
        <v>56</v>
      </c>
      <c r="C15" s="5">
        <v>2000000</v>
      </c>
      <c r="D15" s="6" t="s">
        <v>57</v>
      </c>
    </row>
    <row r="16" spans="2:4" ht="15" customHeight="1" x14ac:dyDescent="0.2">
      <c r="B16" s="1" t="s">
        <v>58</v>
      </c>
      <c r="C16" s="8">
        <f>C15/C9</f>
        <v>333333.33333333331</v>
      </c>
      <c r="D16" s="6" t="s">
        <v>59</v>
      </c>
    </row>
    <row r="17" spans="2:4" ht="15" customHeight="1" x14ac:dyDescent="0.2">
      <c r="B17" s="2" t="s">
        <v>60</v>
      </c>
      <c r="C17" s="7">
        <v>0.1</v>
      </c>
      <c r="D17" s="6" t="s">
        <v>61</v>
      </c>
    </row>
    <row r="18" spans="2:4" ht="15" customHeight="1" x14ac:dyDescent="0.2">
      <c r="B18" s="1" t="s">
        <v>62</v>
      </c>
      <c r="C18" s="8">
        <f>C15*C17</f>
        <v>200000</v>
      </c>
      <c r="D18" s="6" t="s">
        <v>63</v>
      </c>
    </row>
    <row r="19" spans="2:4" ht="15" customHeight="1" x14ac:dyDescent="0.2">
      <c r="B19" s="2" t="s">
        <v>64</v>
      </c>
      <c r="C19" s="9">
        <v>35000</v>
      </c>
      <c r="D19" s="6" t="s">
        <v>65</v>
      </c>
    </row>
    <row r="20" spans="2:4" ht="15" customHeight="1" x14ac:dyDescent="0.2">
      <c r="B20" s="1" t="s">
        <v>66</v>
      </c>
      <c r="C20" s="14">
        <v>60000</v>
      </c>
      <c r="D20" s="6" t="s">
        <v>67</v>
      </c>
    </row>
    <row r="21" spans="2:4" ht="15" customHeight="1" x14ac:dyDescent="0.2">
      <c r="B21" s="2" t="s">
        <v>68</v>
      </c>
      <c r="C21" s="9">
        <v>120000</v>
      </c>
      <c r="D21" s="6" t="s">
        <v>69</v>
      </c>
    </row>
    <row r="22" spans="2:4" ht="15" customHeight="1" x14ac:dyDescent="0.2">
      <c r="B22" s="1" t="s">
        <v>70</v>
      </c>
      <c r="C22" s="15">
        <v>0.05</v>
      </c>
      <c r="D22" s="6" t="s">
        <v>71</v>
      </c>
    </row>
    <row r="23" spans="2:4" ht="15" customHeight="1" x14ac:dyDescent="0.2">
      <c r="B23" s="2" t="s">
        <v>72</v>
      </c>
      <c r="C23" s="16">
        <f>C15*C22</f>
        <v>100000</v>
      </c>
      <c r="D23" s="6" t="s">
        <v>63</v>
      </c>
    </row>
    <row r="24" spans="2:4" ht="15" customHeight="1" x14ac:dyDescent="0.2">
      <c r="B24" s="1" t="s">
        <v>73</v>
      </c>
      <c r="C24" s="17">
        <f>C15+C18+C19+C20+C21+C23</f>
        <v>2515000</v>
      </c>
      <c r="D24" s="6" t="s">
        <v>74</v>
      </c>
    </row>
    <row r="25" spans="2:4" ht="15" customHeight="1" x14ac:dyDescent="0.2">
      <c r="B25" s="3" t="s">
        <v>75</v>
      </c>
      <c r="C25" s="18">
        <f>C8+C24</f>
        <v>3786000</v>
      </c>
      <c r="D25" s="6" t="s">
        <v>76</v>
      </c>
    </row>
    <row r="27" spans="2:4" ht="15.75" customHeight="1" x14ac:dyDescent="0.2">
      <c r="B27" s="110" t="s">
        <v>77</v>
      </c>
      <c r="C27" s="110"/>
      <c r="D27" s="110"/>
    </row>
    <row r="28" spans="2:4" ht="15" customHeight="1" x14ac:dyDescent="0.2">
      <c r="B28" s="2" t="s">
        <v>78</v>
      </c>
      <c r="C28" s="5">
        <v>600000</v>
      </c>
      <c r="D28" s="6" t="s">
        <v>79</v>
      </c>
    </row>
    <row r="29" spans="2:4" ht="15" customHeight="1" x14ac:dyDescent="0.2">
      <c r="B29" s="1" t="s">
        <v>80</v>
      </c>
      <c r="C29" s="19">
        <v>0.03</v>
      </c>
      <c r="D29" s="6" t="s">
        <v>81</v>
      </c>
    </row>
    <row r="30" spans="2:4" ht="15" customHeight="1" x14ac:dyDescent="0.2">
      <c r="B30" s="2" t="s">
        <v>82</v>
      </c>
      <c r="C30" s="20" t="s">
        <v>83</v>
      </c>
      <c r="D30" s="6" t="s">
        <v>84</v>
      </c>
    </row>
    <row r="31" spans="2:4" ht="15" customHeight="1" x14ac:dyDescent="0.2">
      <c r="B31" s="21" t="s">
        <v>85</v>
      </c>
      <c r="C31" s="18">
        <f>C9*C28</f>
        <v>3600000</v>
      </c>
      <c r="D31" s="6" t="s">
        <v>86</v>
      </c>
    </row>
    <row r="32" spans="2:4" ht="15" customHeight="1" x14ac:dyDescent="0.2">
      <c r="B32" s="2" t="s">
        <v>87</v>
      </c>
      <c r="C32" s="7">
        <v>2.1999999999999999E-2</v>
      </c>
      <c r="D32" s="6" t="s">
        <v>88</v>
      </c>
    </row>
    <row r="33" spans="2:4" ht="15" customHeight="1" x14ac:dyDescent="0.2">
      <c r="B33" s="1" t="s">
        <v>89</v>
      </c>
      <c r="C33" s="8">
        <f>C31*C32</f>
        <v>79200</v>
      </c>
      <c r="D33" s="6" t="s">
        <v>63</v>
      </c>
    </row>
    <row r="34" spans="2:4" ht="15" customHeight="1" x14ac:dyDescent="0.2">
      <c r="B34" s="2" t="s">
        <v>90</v>
      </c>
      <c r="C34" s="9">
        <v>12000</v>
      </c>
      <c r="D34" s="6" t="s">
        <v>91</v>
      </c>
    </row>
    <row r="35" spans="2:4" ht="15" customHeight="1" x14ac:dyDescent="0.2">
      <c r="B35" s="21" t="s">
        <v>92</v>
      </c>
      <c r="C35" s="18">
        <f>C31-C33-C34</f>
        <v>3508800</v>
      </c>
      <c r="D35" s="6" t="s">
        <v>93</v>
      </c>
    </row>
    <row r="37" spans="2:4" ht="15.75" customHeight="1" x14ac:dyDescent="0.2">
      <c r="B37" s="110" t="s">
        <v>94</v>
      </c>
      <c r="C37" s="110"/>
      <c r="D37" s="110"/>
    </row>
    <row r="38" spans="2:4" ht="15" customHeight="1" x14ac:dyDescent="0.2">
      <c r="B38" s="2" t="s">
        <v>95</v>
      </c>
      <c r="C38" s="9">
        <v>580</v>
      </c>
      <c r="D38" s="6" t="s">
        <v>96</v>
      </c>
    </row>
    <row r="39" spans="2:4" ht="15" customHeight="1" x14ac:dyDescent="0.2">
      <c r="B39" s="1" t="s">
        <v>97</v>
      </c>
      <c r="C39" s="8">
        <f>C38*52*C9</f>
        <v>180960</v>
      </c>
      <c r="D39" s="6" t="s">
        <v>98</v>
      </c>
    </row>
    <row r="40" spans="2:4" ht="15" customHeight="1" x14ac:dyDescent="0.2">
      <c r="B40" s="2" t="s">
        <v>99</v>
      </c>
      <c r="C40" s="7">
        <v>0.03</v>
      </c>
      <c r="D40" s="6" t="s">
        <v>100</v>
      </c>
    </row>
    <row r="41" spans="2:4" ht="15" customHeight="1" x14ac:dyDescent="0.2">
      <c r="B41" s="1" t="s">
        <v>101</v>
      </c>
      <c r="C41" s="8">
        <f>C39*(1-C40)</f>
        <v>175531.19999999998</v>
      </c>
      <c r="D41" s="6" t="s">
        <v>102</v>
      </c>
    </row>
    <row r="42" spans="2:4" ht="15" customHeight="1" x14ac:dyDescent="0.2">
      <c r="B42" s="2" t="s">
        <v>103</v>
      </c>
      <c r="C42" s="22">
        <f>C39/C28</f>
        <v>0.30159999999999998</v>
      </c>
      <c r="D42" s="6" t="s">
        <v>104</v>
      </c>
    </row>
    <row r="43" spans="2:4" ht="15" customHeight="1" x14ac:dyDescent="0.2">
      <c r="B43" s="1" t="s">
        <v>105</v>
      </c>
      <c r="C43" s="23">
        <f>C41/C28</f>
        <v>0.29255199999999998</v>
      </c>
      <c r="D43" s="6" t="s">
        <v>106</v>
      </c>
    </row>
    <row r="45" spans="2:4" ht="15.75" customHeight="1" x14ac:dyDescent="0.2">
      <c r="B45" s="110" t="s">
        <v>107</v>
      </c>
      <c r="C45" s="110"/>
      <c r="D45" s="110"/>
    </row>
    <row r="46" spans="2:4" ht="15" customHeight="1" x14ac:dyDescent="0.2">
      <c r="B46" s="2" t="s">
        <v>108</v>
      </c>
      <c r="C46" s="7">
        <v>0.65</v>
      </c>
      <c r="D46" s="6" t="s">
        <v>109</v>
      </c>
    </row>
    <row r="47" spans="2:4" ht="15" customHeight="1" x14ac:dyDescent="0.2">
      <c r="B47" s="1" t="s">
        <v>110</v>
      </c>
      <c r="C47" s="15">
        <v>7.4999999999999997E-2</v>
      </c>
      <c r="D47" s="6" t="s">
        <v>111</v>
      </c>
    </row>
    <row r="48" spans="2:4" ht="15" customHeight="1" x14ac:dyDescent="0.2">
      <c r="B48" s="2" t="s">
        <v>112</v>
      </c>
      <c r="C48" s="16">
        <f>C25*(1-C46)</f>
        <v>1325100</v>
      </c>
      <c r="D48" s="6" t="s">
        <v>113</v>
      </c>
    </row>
    <row r="49" spans="2:4" ht="15" customHeight="1" x14ac:dyDescent="0.2">
      <c r="B49" s="1" t="s">
        <v>114</v>
      </c>
      <c r="C49" s="8">
        <f>C25*C46</f>
        <v>2460900</v>
      </c>
      <c r="D49" s="6" t="s">
        <v>115</v>
      </c>
    </row>
    <row r="50" spans="2:4" ht="15" customHeight="1" x14ac:dyDescent="0.2">
      <c r="B50" s="3" t="s">
        <v>116</v>
      </c>
      <c r="C50" s="15">
        <v>0.2</v>
      </c>
      <c r="D50" s="6" t="s">
        <v>117</v>
      </c>
    </row>
    <row r="51" spans="2:4" ht="15" customHeight="1" x14ac:dyDescent="0.2">
      <c r="B51" s="21" t="s">
        <v>118</v>
      </c>
      <c r="C51" s="15">
        <v>0.12</v>
      </c>
      <c r="D51" s="6" t="s">
        <v>119</v>
      </c>
    </row>
  </sheetData>
  <mergeCells count="6">
    <mergeCell ref="B45:D45"/>
    <mergeCell ref="B1:D1"/>
    <mergeCell ref="B3:D3"/>
    <mergeCell ref="B14:D14"/>
    <mergeCell ref="B27:D27"/>
    <mergeCell ref="B37:D3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5FA3"/>
  </sheetPr>
  <dimension ref="B1:H26"/>
  <sheetViews>
    <sheetView showGridLines="0" zoomScaleNormal="100" workbookViewId="0">
      <selection activeCell="E35" sqref="E35"/>
    </sheetView>
  </sheetViews>
  <sheetFormatPr baseColWidth="10" defaultColWidth="8.6640625" defaultRowHeight="15" x14ac:dyDescent="0.2"/>
  <cols>
    <col min="1" max="1" width="3" customWidth="1"/>
    <col min="2" max="2" width="42" customWidth="1"/>
    <col min="3" max="7" width="18" customWidth="1"/>
    <col min="8" max="8" width="32.33203125" customWidth="1"/>
  </cols>
  <sheetData>
    <row r="1" spans="2:8" ht="27.75" customHeight="1" x14ac:dyDescent="0.2">
      <c r="B1" s="112" t="s">
        <v>120</v>
      </c>
      <c r="C1" s="112"/>
      <c r="D1" s="112"/>
      <c r="E1" s="112"/>
      <c r="F1" s="112"/>
      <c r="G1" s="112"/>
    </row>
    <row r="2" spans="2:8" ht="41" customHeight="1" x14ac:dyDescent="0.2">
      <c r="B2" s="83" t="s">
        <v>121</v>
      </c>
      <c r="C2" s="84" t="s">
        <v>122</v>
      </c>
      <c r="D2" s="84" t="s">
        <v>123</v>
      </c>
      <c r="E2" s="84" t="s">
        <v>124</v>
      </c>
      <c r="F2" s="85" t="s">
        <v>125</v>
      </c>
      <c r="G2" s="86" t="s">
        <v>126</v>
      </c>
      <c r="H2" s="87" t="s">
        <v>127</v>
      </c>
    </row>
    <row r="3" spans="2:8" ht="15.75" customHeight="1" x14ac:dyDescent="0.2">
      <c r="B3" s="113" t="s">
        <v>128</v>
      </c>
      <c r="C3" s="113"/>
      <c r="D3" s="113"/>
      <c r="E3" s="113"/>
      <c r="F3" s="113"/>
      <c r="G3" s="113"/>
      <c r="H3" s="113"/>
    </row>
    <row r="4" spans="2:8" ht="20" customHeight="1" x14ac:dyDescent="0.2">
      <c r="B4" s="1" t="s">
        <v>129</v>
      </c>
      <c r="C4" s="8">
        <f>-Assumptions!C4</f>
        <v>-1200000</v>
      </c>
      <c r="D4" s="8">
        <v>0</v>
      </c>
      <c r="E4" s="8">
        <v>0</v>
      </c>
      <c r="F4" s="8">
        <v>0</v>
      </c>
      <c r="G4" s="8">
        <f t="shared" ref="G4:G14" si="0">SUM(C4:F4)</f>
        <v>-1200000</v>
      </c>
      <c r="H4" s="6" t="s">
        <v>130</v>
      </c>
    </row>
    <row r="5" spans="2:8" ht="20" customHeight="1" x14ac:dyDescent="0.2">
      <c r="B5" s="2" t="s">
        <v>41</v>
      </c>
      <c r="C5" s="16">
        <f>-Assumptions!C6</f>
        <v>-66000</v>
      </c>
      <c r="D5" s="16">
        <v>0</v>
      </c>
      <c r="E5" s="16">
        <v>0</v>
      </c>
      <c r="F5" s="16">
        <v>0</v>
      </c>
      <c r="G5" s="16">
        <f t="shared" si="0"/>
        <v>-66000</v>
      </c>
      <c r="H5" s="6" t="s">
        <v>131</v>
      </c>
    </row>
    <row r="6" spans="2:8" ht="20" customHeight="1" x14ac:dyDescent="0.2">
      <c r="B6" s="1" t="s">
        <v>43</v>
      </c>
      <c r="C6" s="8">
        <f>-Assumptions!C7</f>
        <v>-5000</v>
      </c>
      <c r="D6" s="8">
        <v>0</v>
      </c>
      <c r="E6" s="8">
        <v>0</v>
      </c>
      <c r="F6" s="8">
        <v>0</v>
      </c>
      <c r="G6" s="8">
        <f t="shared" si="0"/>
        <v>-5000</v>
      </c>
      <c r="H6" s="6" t="s">
        <v>132</v>
      </c>
    </row>
    <row r="7" spans="2:8" ht="20" customHeight="1" x14ac:dyDescent="0.2">
      <c r="B7" s="2" t="s">
        <v>62</v>
      </c>
      <c r="C7" s="16">
        <f>-Assumptions!C18*0.4</f>
        <v>-80000</v>
      </c>
      <c r="D7" s="16">
        <f>-Assumptions!C18*0.6</f>
        <v>-120000</v>
      </c>
      <c r="E7" s="16">
        <v>0</v>
      </c>
      <c r="F7" s="16">
        <v>0</v>
      </c>
      <c r="G7" s="16">
        <f t="shared" si="0"/>
        <v>-200000</v>
      </c>
      <c r="H7" s="6" t="s">
        <v>133</v>
      </c>
    </row>
    <row r="8" spans="2:8" ht="20" customHeight="1" x14ac:dyDescent="0.2">
      <c r="B8" s="1" t="s">
        <v>64</v>
      </c>
      <c r="C8" s="8">
        <v>0</v>
      </c>
      <c r="D8" s="8">
        <f>-Assumptions!C19</f>
        <v>-35000</v>
      </c>
      <c r="E8" s="8">
        <v>0</v>
      </c>
      <c r="F8" s="8">
        <v>0</v>
      </c>
      <c r="G8" s="8">
        <f t="shared" si="0"/>
        <v>-35000</v>
      </c>
      <c r="H8" s="6" t="s">
        <v>134</v>
      </c>
    </row>
    <row r="9" spans="2:8" ht="20" customHeight="1" x14ac:dyDescent="0.2">
      <c r="B9" s="2" t="s">
        <v>135</v>
      </c>
      <c r="C9" s="16">
        <v>0</v>
      </c>
      <c r="D9" s="16">
        <v>0</v>
      </c>
      <c r="E9" s="16">
        <f>-Assumptions!C15*0.5</f>
        <v>-1000000</v>
      </c>
      <c r="F9" s="16">
        <v>0</v>
      </c>
      <c r="G9" s="16">
        <f t="shared" si="0"/>
        <v>-1000000</v>
      </c>
      <c r="H9" s="6" t="s">
        <v>136</v>
      </c>
    </row>
    <row r="10" spans="2:8" ht="20" customHeight="1" x14ac:dyDescent="0.2">
      <c r="B10" s="1" t="s">
        <v>137</v>
      </c>
      <c r="C10" s="8">
        <v>0</v>
      </c>
      <c r="D10" s="8">
        <v>0</v>
      </c>
      <c r="E10" s="8">
        <v>0</v>
      </c>
      <c r="F10" s="8">
        <f>-Assumptions!C15*0.5</f>
        <v>-1000000</v>
      </c>
      <c r="G10" s="8">
        <f t="shared" si="0"/>
        <v>-1000000</v>
      </c>
      <c r="H10" s="6" t="s">
        <v>138</v>
      </c>
    </row>
    <row r="11" spans="2:8" ht="20" customHeight="1" x14ac:dyDescent="0.2">
      <c r="B11" s="2" t="s">
        <v>68</v>
      </c>
      <c r="C11" s="16">
        <v>0</v>
      </c>
      <c r="D11" s="16">
        <f>-Assumptions!C21*0.3</f>
        <v>-36000</v>
      </c>
      <c r="E11" s="16">
        <f>-Assumptions!C21*0.5</f>
        <v>-60000</v>
      </c>
      <c r="F11" s="16">
        <f>-Assumptions!C21*0.2</f>
        <v>-24000</v>
      </c>
      <c r="G11" s="16">
        <f t="shared" si="0"/>
        <v>-120000</v>
      </c>
      <c r="H11" s="6" t="s">
        <v>139</v>
      </c>
    </row>
    <row r="12" spans="2:8" ht="20" customHeight="1" x14ac:dyDescent="0.2">
      <c r="B12" s="1" t="s">
        <v>72</v>
      </c>
      <c r="C12" s="8">
        <v>0</v>
      </c>
      <c r="D12" s="8">
        <v>0</v>
      </c>
      <c r="E12" s="8">
        <f>-Assumptions!C23*0.5</f>
        <v>-50000</v>
      </c>
      <c r="F12" s="8">
        <f>-Assumptions!C23*0.5</f>
        <v>-50000</v>
      </c>
      <c r="G12" s="8">
        <f t="shared" si="0"/>
        <v>-100000</v>
      </c>
      <c r="H12" s="6" t="s">
        <v>140</v>
      </c>
    </row>
    <row r="13" spans="2:8" ht="20" customHeight="1" x14ac:dyDescent="0.2">
      <c r="B13" s="2" t="s">
        <v>141</v>
      </c>
      <c r="C13" s="16">
        <v>0</v>
      </c>
      <c r="D13" s="16">
        <f>-Assumptions!C20*0.5</f>
        <v>-30000</v>
      </c>
      <c r="E13" s="16">
        <f>-Assumptions!C20*0.5</f>
        <v>-30000</v>
      </c>
      <c r="F13" s="16">
        <v>0</v>
      </c>
      <c r="G13" s="16">
        <f t="shared" si="0"/>
        <v>-60000</v>
      </c>
      <c r="H13" s="6" t="s">
        <v>142</v>
      </c>
    </row>
    <row r="14" spans="2:8" ht="20" customHeight="1" x14ac:dyDescent="0.2">
      <c r="B14" s="21" t="s">
        <v>143</v>
      </c>
      <c r="C14" s="25">
        <f>SUM(C4:C13)</f>
        <v>-1351000</v>
      </c>
      <c r="D14" s="25">
        <f>SUM(D4:D13)</f>
        <v>-221000</v>
      </c>
      <c r="E14" s="25">
        <f>SUM(E4:E13)</f>
        <v>-1140000</v>
      </c>
      <c r="F14" s="25">
        <f>SUM(F4:F13)</f>
        <v>-1074000</v>
      </c>
      <c r="G14" s="26">
        <f t="shared" si="0"/>
        <v>-3786000</v>
      </c>
      <c r="H14" s="6" t="s">
        <v>144</v>
      </c>
    </row>
    <row r="15" spans="2:8" ht="20" customHeight="1" x14ac:dyDescent="0.2"/>
    <row r="16" spans="2:8" ht="20" customHeight="1" x14ac:dyDescent="0.2">
      <c r="B16" s="113" t="s">
        <v>145</v>
      </c>
      <c r="C16" s="113"/>
      <c r="D16" s="113"/>
      <c r="E16" s="113"/>
      <c r="F16" s="113"/>
      <c r="G16" s="113"/>
      <c r="H16" s="113"/>
    </row>
    <row r="17" spans="2:8" ht="20" customHeight="1" x14ac:dyDescent="0.2">
      <c r="B17" s="2" t="s">
        <v>146</v>
      </c>
      <c r="C17" s="16">
        <v>0</v>
      </c>
      <c r="D17" s="16">
        <v>0</v>
      </c>
      <c r="E17" s="16">
        <f>Assumptions!C31*0.1</f>
        <v>360000</v>
      </c>
      <c r="F17" s="16">
        <v>0</v>
      </c>
      <c r="G17" s="16">
        <f>SUM(C17:F17)</f>
        <v>360000</v>
      </c>
      <c r="H17" s="6" t="s">
        <v>147</v>
      </c>
    </row>
    <row r="18" spans="2:8" ht="20" customHeight="1" x14ac:dyDescent="0.2">
      <c r="B18" s="1" t="s">
        <v>148</v>
      </c>
      <c r="C18" s="8">
        <v>0</v>
      </c>
      <c r="D18" s="8">
        <v>0</v>
      </c>
      <c r="E18" s="8">
        <v>0</v>
      </c>
      <c r="F18" s="8">
        <f>Assumptions!C31*0.9</f>
        <v>3240000</v>
      </c>
      <c r="G18" s="8">
        <f>SUM(C18:F18)</f>
        <v>3240000</v>
      </c>
      <c r="H18" s="6" t="s">
        <v>149</v>
      </c>
    </row>
    <row r="19" spans="2:8" ht="20" customHeight="1" x14ac:dyDescent="0.2">
      <c r="B19" s="2" t="s">
        <v>150</v>
      </c>
      <c r="C19" s="16">
        <v>0</v>
      </c>
      <c r="D19" s="16">
        <v>0</v>
      </c>
      <c r="E19" s="16">
        <v>0</v>
      </c>
      <c r="F19" s="16">
        <f>-Assumptions!C33</f>
        <v>-79200</v>
      </c>
      <c r="G19" s="16">
        <f>SUM(C19:F19)</f>
        <v>-79200</v>
      </c>
      <c r="H19" s="6" t="s">
        <v>151</v>
      </c>
    </row>
    <row r="20" spans="2:8" ht="20" customHeight="1" x14ac:dyDescent="0.2">
      <c r="B20" s="1" t="s">
        <v>152</v>
      </c>
      <c r="C20" s="8">
        <v>0</v>
      </c>
      <c r="D20" s="8">
        <v>0</v>
      </c>
      <c r="E20" s="8">
        <v>0</v>
      </c>
      <c r="F20" s="8">
        <f>-Assumptions!C34</f>
        <v>-12000</v>
      </c>
      <c r="G20" s="8">
        <f>SUM(C20:F20)</f>
        <v>-12000</v>
      </c>
      <c r="H20" s="6" t="s">
        <v>153</v>
      </c>
    </row>
    <row r="21" spans="2:8" ht="20" customHeight="1" x14ac:dyDescent="0.2">
      <c r="B21" s="3" t="s">
        <v>154</v>
      </c>
      <c r="C21" s="27">
        <f>SUM(C17:C20)</f>
        <v>0</v>
      </c>
      <c r="D21" s="27">
        <f>SUM(D17:D20)</f>
        <v>0</v>
      </c>
      <c r="E21" s="27">
        <f>SUM(E17:E20)</f>
        <v>360000</v>
      </c>
      <c r="F21" s="27">
        <f>SUM(F17:F20)</f>
        <v>3148800</v>
      </c>
      <c r="G21" s="28">
        <f>SUM(C21:F21)</f>
        <v>3508800</v>
      </c>
      <c r="H21" s="6" t="s">
        <v>155</v>
      </c>
    </row>
    <row r="22" spans="2:8" ht="20" customHeight="1" x14ac:dyDescent="0.2"/>
    <row r="23" spans="2:8" ht="20" customHeight="1" x14ac:dyDescent="0.2">
      <c r="B23" s="113" t="s">
        <v>156</v>
      </c>
      <c r="C23" s="113"/>
      <c r="D23" s="113"/>
      <c r="E23" s="113"/>
      <c r="F23" s="113"/>
      <c r="G23" s="113"/>
      <c r="H23" s="113"/>
    </row>
    <row r="24" spans="2:8" ht="20" customHeight="1" x14ac:dyDescent="0.2">
      <c r="B24" s="21" t="s">
        <v>157</v>
      </c>
      <c r="C24" s="18">
        <f>C14+C21</f>
        <v>-1351000</v>
      </c>
      <c r="D24" s="18">
        <f>D14+D21</f>
        <v>-221000</v>
      </c>
      <c r="E24" s="18">
        <f>E14+E21</f>
        <v>-780000</v>
      </c>
      <c r="F24" s="18">
        <f>F14+F21</f>
        <v>2074800</v>
      </c>
      <c r="G24" s="29">
        <f>SUM(C24:F24)</f>
        <v>-277200</v>
      </c>
      <c r="H24" s="6" t="s">
        <v>158</v>
      </c>
    </row>
    <row r="25" spans="2:8" ht="20" customHeight="1" x14ac:dyDescent="0.2">
      <c r="B25" s="3" t="s">
        <v>159</v>
      </c>
      <c r="C25" s="18">
        <f>C24</f>
        <v>-1351000</v>
      </c>
      <c r="D25" s="18">
        <f>C25+D24</f>
        <v>-1572000</v>
      </c>
      <c r="E25" s="18">
        <f>D25+E24</f>
        <v>-2352000</v>
      </c>
      <c r="F25" s="18">
        <f>E25+F24</f>
        <v>-277200</v>
      </c>
      <c r="G25" s="29">
        <f>F25</f>
        <v>-277200</v>
      </c>
      <c r="H25" s="6" t="s">
        <v>160</v>
      </c>
    </row>
    <row r="26" spans="2:8" ht="20" customHeight="1" x14ac:dyDescent="0.2"/>
  </sheetData>
  <mergeCells count="4">
    <mergeCell ref="B1:G1"/>
    <mergeCell ref="B3:H3"/>
    <mergeCell ref="B16:H16"/>
    <mergeCell ref="B23:H2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B1:F50"/>
  <sheetViews>
    <sheetView showGridLines="0" zoomScaleNormal="100" workbookViewId="0">
      <selection activeCell="L31" sqref="L31"/>
    </sheetView>
  </sheetViews>
  <sheetFormatPr baseColWidth="10" defaultColWidth="8.6640625" defaultRowHeight="15" x14ac:dyDescent="0.2"/>
  <cols>
    <col min="1" max="1" width="3" customWidth="1"/>
    <col min="2" max="2" width="40" customWidth="1"/>
    <col min="3" max="3" width="20" customWidth="1"/>
    <col min="4" max="4" width="18" customWidth="1"/>
    <col min="5" max="5" width="44" customWidth="1"/>
    <col min="6" max="6" width="18.33203125" customWidth="1"/>
  </cols>
  <sheetData>
    <row r="1" spans="2:5" ht="27.75" customHeight="1" x14ac:dyDescent="0.2">
      <c r="B1" s="112" t="s">
        <v>161</v>
      </c>
      <c r="C1" s="112"/>
      <c r="D1" s="112"/>
      <c r="E1" s="112"/>
    </row>
    <row r="2" spans="2:5" ht="15.75" customHeight="1" x14ac:dyDescent="0.2">
      <c r="B2" s="82" t="s">
        <v>162</v>
      </c>
      <c r="C2" s="82" t="s">
        <v>34</v>
      </c>
      <c r="D2" s="82" t="s">
        <v>163</v>
      </c>
      <c r="E2" s="82" t="s">
        <v>164</v>
      </c>
    </row>
    <row r="3" spans="2:5" ht="15.75" customHeight="1" x14ac:dyDescent="0.2">
      <c r="B3" s="113" t="s">
        <v>165</v>
      </c>
      <c r="C3" s="113"/>
      <c r="D3" s="113"/>
      <c r="E3" s="113"/>
    </row>
    <row r="4" spans="2:5" ht="15" customHeight="1" x14ac:dyDescent="0.2">
      <c r="B4" s="21" t="s">
        <v>166</v>
      </c>
      <c r="C4" s="8">
        <f>Assumptions!C31</f>
        <v>3600000</v>
      </c>
      <c r="D4" s="30" t="s">
        <v>167</v>
      </c>
      <c r="E4" s="31" t="s">
        <v>168</v>
      </c>
    </row>
    <row r="5" spans="2:5" ht="15" customHeight="1" x14ac:dyDescent="0.2">
      <c r="B5" s="3" t="s">
        <v>169</v>
      </c>
      <c r="C5" s="16">
        <f>Assumptions!C25</f>
        <v>3786000</v>
      </c>
      <c r="D5" s="32" t="s">
        <v>170</v>
      </c>
      <c r="E5" s="33" t="s">
        <v>171</v>
      </c>
    </row>
    <row r="6" spans="2:5" ht="15" customHeight="1" x14ac:dyDescent="0.2">
      <c r="B6" s="21" t="s">
        <v>172</v>
      </c>
      <c r="C6" s="18">
        <f>C4-C5</f>
        <v>-186000</v>
      </c>
      <c r="D6" s="34" t="s">
        <v>173</v>
      </c>
      <c r="E6" s="31" t="s">
        <v>174</v>
      </c>
    </row>
    <row r="7" spans="2:5" ht="15" customHeight="1" x14ac:dyDescent="0.2">
      <c r="B7" s="3" t="s">
        <v>175</v>
      </c>
      <c r="C7" s="35">
        <f>IFERROR(C6/C4,0)</f>
        <v>-5.1666666666666666E-2</v>
      </c>
      <c r="D7" s="34" t="s">
        <v>176</v>
      </c>
      <c r="E7" s="33" t="s">
        <v>177</v>
      </c>
    </row>
    <row r="8" spans="2:5" ht="15" customHeight="1" x14ac:dyDescent="0.2">
      <c r="B8" s="1" t="s">
        <v>178</v>
      </c>
      <c r="C8" s="35">
        <f>IFERROR(C6/C5,0)</f>
        <v>-4.9128367670364499E-2</v>
      </c>
      <c r="D8" s="34" t="s">
        <v>179</v>
      </c>
      <c r="E8" s="31" t="s">
        <v>180</v>
      </c>
    </row>
    <row r="9" spans="2:5" ht="15" customHeight="1" x14ac:dyDescent="0.2">
      <c r="B9" s="2" t="s">
        <v>181</v>
      </c>
      <c r="C9" s="36">
        <f>IFERROR(C6/Assumptions!C48,0)</f>
        <v>-0.14036676477247001</v>
      </c>
      <c r="D9" s="32" t="s">
        <v>182</v>
      </c>
      <c r="E9" s="33" t="s">
        <v>183</v>
      </c>
    </row>
    <row r="10" spans="2:5" ht="15" customHeight="1" x14ac:dyDescent="0.2">
      <c r="B10" s="1" t="s">
        <v>103</v>
      </c>
      <c r="C10" s="23">
        <f>Assumptions!C42</f>
        <v>0.30159999999999998</v>
      </c>
      <c r="D10" s="30" t="s">
        <v>184</v>
      </c>
      <c r="E10" s="31" t="s">
        <v>185</v>
      </c>
    </row>
    <row r="11" spans="2:5" ht="15" customHeight="1" x14ac:dyDescent="0.2">
      <c r="B11" s="2" t="s">
        <v>105</v>
      </c>
      <c r="C11" s="22">
        <f>Assumptions!C43</f>
        <v>0.29255199999999998</v>
      </c>
      <c r="D11" s="32" t="s">
        <v>186</v>
      </c>
      <c r="E11" s="33" t="s">
        <v>187</v>
      </c>
    </row>
    <row r="12" spans="2:5" ht="15" customHeight="1" x14ac:dyDescent="0.2">
      <c r="B12" s="1" t="s">
        <v>58</v>
      </c>
      <c r="C12" s="8">
        <f>Assumptions!C16</f>
        <v>333333.33333333331</v>
      </c>
      <c r="D12" s="30" t="s">
        <v>188</v>
      </c>
      <c r="E12" s="31" t="s">
        <v>189</v>
      </c>
    </row>
    <row r="13" spans="2:5" ht="15" customHeight="1" x14ac:dyDescent="0.2">
      <c r="B13" s="2" t="s">
        <v>190</v>
      </c>
      <c r="C13" s="16">
        <f>IFERROR(C6/Assumptions!C9,0)</f>
        <v>-31000</v>
      </c>
      <c r="D13" s="32" t="s">
        <v>191</v>
      </c>
      <c r="E13" s="33" t="s">
        <v>192</v>
      </c>
    </row>
    <row r="14" spans="2:5" ht="15" customHeight="1" x14ac:dyDescent="0.2">
      <c r="B14" s="1" t="s">
        <v>193</v>
      </c>
      <c r="C14" s="8">
        <f>IFERROR(C5/Assumptions!C9,0)</f>
        <v>631000</v>
      </c>
      <c r="D14" s="30" t="s">
        <v>194</v>
      </c>
      <c r="E14" s="31" t="s">
        <v>195</v>
      </c>
    </row>
    <row r="15" spans="2:5" ht="15" customHeight="1" x14ac:dyDescent="0.2">
      <c r="B15" s="2" t="s">
        <v>196</v>
      </c>
      <c r="C15" s="22">
        <f>IFERROR((Assumptions!C28-C14)/C14,0)</f>
        <v>-4.9128367670364499E-2</v>
      </c>
      <c r="D15" s="32" t="s">
        <v>176</v>
      </c>
      <c r="E15" s="33" t="s">
        <v>197</v>
      </c>
    </row>
    <row r="17" spans="2:5" ht="15.75" customHeight="1" x14ac:dyDescent="0.2">
      <c r="B17" s="113" t="s">
        <v>198</v>
      </c>
      <c r="C17" s="113"/>
      <c r="D17" s="113"/>
      <c r="E17" s="113"/>
    </row>
    <row r="18" spans="2:5" ht="15" customHeight="1" x14ac:dyDescent="0.2">
      <c r="B18" s="3" t="s">
        <v>199</v>
      </c>
      <c r="C18" s="37">
        <f>IFERROR(IRR(C50:F50,0.1),0)</f>
        <v>-4.0460725804651543E-2</v>
      </c>
      <c r="D18" s="38" t="s">
        <v>179</v>
      </c>
      <c r="E18" s="33" t="s">
        <v>200</v>
      </c>
    </row>
    <row r="19" spans="2:5" ht="15" customHeight="1" x14ac:dyDescent="0.2">
      <c r="B19" s="21" t="s">
        <v>201</v>
      </c>
      <c r="C19" s="18">
        <f>IFERROR(NPV(Assumptions!C51,D50:F50)+C50,0)</f>
        <v>-613330.99489795952</v>
      </c>
      <c r="D19" s="39" t="s">
        <v>173</v>
      </c>
      <c r="E19" s="31" t="s">
        <v>202</v>
      </c>
    </row>
    <row r="20" spans="2:5" ht="15" customHeight="1" x14ac:dyDescent="0.2">
      <c r="B20" s="2" t="s">
        <v>203</v>
      </c>
      <c r="C20" s="40">
        <f>IFERROR((Dev_CashFlow!G21+Dev_CashFlow!G24)/ABS(Assumptions!C48),0)</f>
        <v>2.4387593389178175</v>
      </c>
      <c r="D20" s="38" t="s">
        <v>204</v>
      </c>
      <c r="E20" s="33" t="s">
        <v>205</v>
      </c>
    </row>
    <row r="21" spans="2:5" ht="15" customHeight="1" x14ac:dyDescent="0.2">
      <c r="B21" s="1" t="s">
        <v>206</v>
      </c>
      <c r="C21" s="41" t="str">
        <f>IF(Dev_CashFlow!C25&lt;0,IF(Dev_CashFlow!D25&lt;0,IF(Dev_CashFlow!E25&lt;0,"Year 3+","Year 3"),"Year 2"),"Year 1")</f>
        <v>Year 3+</v>
      </c>
      <c r="D21" s="39" t="s">
        <v>83</v>
      </c>
      <c r="E21" s="31" t="s">
        <v>207</v>
      </c>
    </row>
    <row r="22" spans="2:5" ht="15" customHeight="1" x14ac:dyDescent="0.2">
      <c r="B22" s="2" t="s">
        <v>208</v>
      </c>
      <c r="C22" s="16">
        <f>Assumptions!C48</f>
        <v>1325100</v>
      </c>
      <c r="D22" s="38" t="s">
        <v>209</v>
      </c>
      <c r="E22" s="33" t="s">
        <v>210</v>
      </c>
    </row>
    <row r="23" spans="2:5" ht="15" customHeight="1" x14ac:dyDescent="0.2">
      <c r="B23" s="1" t="s">
        <v>211</v>
      </c>
      <c r="C23" s="23">
        <f>Assumptions!C50</f>
        <v>0.2</v>
      </c>
      <c r="D23" s="39" t="s">
        <v>212</v>
      </c>
      <c r="E23" s="31" t="s">
        <v>213</v>
      </c>
    </row>
    <row r="24" spans="2:5" ht="15" customHeight="1" x14ac:dyDescent="0.2">
      <c r="B24" s="3" t="s">
        <v>214</v>
      </c>
      <c r="C24" s="42" t="str">
        <f>IF(C18&gt;=C23,"✅  PASS — Exceeds hurdle","❌  FAIL — Below hurdle rate")</f>
        <v>❌  FAIL — Below hurdle rate</v>
      </c>
      <c r="D24" s="38" t="s">
        <v>215</v>
      </c>
      <c r="E24" s="33" t="s">
        <v>216</v>
      </c>
    </row>
    <row r="25" spans="2:5" ht="15" customHeight="1" x14ac:dyDescent="0.2">
      <c r="B25" s="21" t="s">
        <v>217</v>
      </c>
      <c r="C25" s="42" t="str">
        <f>IF(C7&gt;=0.15,"✅  PASS — Margin ≥ 15%","❌  FAIL — Margin &lt; 15%")</f>
        <v>❌  FAIL — Margin &lt; 15%</v>
      </c>
      <c r="D25" s="39" t="s">
        <v>215</v>
      </c>
      <c r="E25" s="31" t="s">
        <v>218</v>
      </c>
    </row>
    <row r="27" spans="2:5" ht="21.75" customHeight="1" x14ac:dyDescent="0.2">
      <c r="B27" s="114" t="str">
        <f>IF(AND(C7&gt;=0.15,C18&gt;=C23,C19&gt;0),"✅  PROJECT IS FEASIBLE — Proceed to detailed due diligence","❌  PROJECT FAILS FEASIBILITY — Review pricing or cost structure")</f>
        <v>❌  PROJECT FAILS FEASIBILITY — Review pricing or cost structure</v>
      </c>
      <c r="C27" s="114"/>
      <c r="D27" s="114"/>
      <c r="E27" s="43" t="s">
        <v>219</v>
      </c>
    </row>
    <row r="50" spans="2:6" ht="15" customHeight="1" x14ac:dyDescent="0.2">
      <c r="B50" s="44" t="s">
        <v>383</v>
      </c>
      <c r="C50" s="45">
        <f>-Assumptions!C8</f>
        <v>-1271000</v>
      </c>
      <c r="D50" s="45">
        <f>Dev_CashFlow!D24</f>
        <v>-221000</v>
      </c>
      <c r="E50" s="45">
        <f>Dev_CashFlow!E24</f>
        <v>-780000</v>
      </c>
      <c r="F50" s="45">
        <f>Dev_CashFlow!F24</f>
        <v>2074800</v>
      </c>
    </row>
  </sheetData>
  <mergeCells count="4">
    <mergeCell ref="B1:E1"/>
    <mergeCell ref="B3:E3"/>
    <mergeCell ref="B17:E17"/>
    <mergeCell ref="B27:D2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55A11"/>
  </sheetPr>
  <dimension ref="B1:I29"/>
  <sheetViews>
    <sheetView showGridLines="0" topLeftCell="B1" zoomScaleNormal="100" workbookViewId="0">
      <selection activeCell="F32" sqref="F32"/>
    </sheetView>
  </sheetViews>
  <sheetFormatPr baseColWidth="10" defaultColWidth="8.6640625" defaultRowHeight="15" x14ac:dyDescent="0.2"/>
  <cols>
    <col min="1" max="1" width="3" customWidth="1"/>
    <col min="2" max="2" width="38" customWidth="1"/>
    <col min="3" max="8" width="17" customWidth="1"/>
    <col min="9" max="9" width="36" customWidth="1"/>
  </cols>
  <sheetData>
    <row r="1" spans="2:9" ht="27.75" customHeight="1" x14ac:dyDescent="0.2">
      <c r="B1" s="112" t="s">
        <v>220</v>
      </c>
      <c r="C1" s="112"/>
      <c r="D1" s="112"/>
      <c r="E1" s="112"/>
      <c r="F1" s="112"/>
      <c r="G1" s="112"/>
      <c r="H1" s="112"/>
    </row>
    <row r="2" spans="2:9" ht="15.75" customHeight="1" x14ac:dyDescent="0.2">
      <c r="B2" s="113" t="s">
        <v>221</v>
      </c>
      <c r="C2" s="113"/>
      <c r="D2" s="113"/>
      <c r="E2" s="113"/>
      <c r="F2" s="113"/>
      <c r="G2" s="113"/>
      <c r="H2" s="113"/>
      <c r="I2" s="113"/>
    </row>
    <row r="3" spans="2:9" ht="27.75" customHeight="1" x14ac:dyDescent="0.2">
      <c r="B3" s="84" t="s">
        <v>222</v>
      </c>
      <c r="C3" s="84" t="s">
        <v>223</v>
      </c>
      <c r="D3" s="84" t="s">
        <v>224</v>
      </c>
      <c r="E3" s="84" t="s">
        <v>225</v>
      </c>
      <c r="F3" s="84" t="s">
        <v>226</v>
      </c>
      <c r="G3" s="84" t="s">
        <v>227</v>
      </c>
      <c r="H3" s="84" t="s">
        <v>228</v>
      </c>
      <c r="I3" s="84" t="s">
        <v>229</v>
      </c>
    </row>
    <row r="4" spans="2:9" ht="15" customHeight="1" x14ac:dyDescent="0.2">
      <c r="B4" s="46" t="s">
        <v>230</v>
      </c>
      <c r="C4" s="8">
        <f>Assumptions!C15*1</f>
        <v>2000000</v>
      </c>
      <c r="D4" s="8">
        <v>600000</v>
      </c>
      <c r="E4" s="8">
        <f>(Assumptions!C8+Assumptions!C15*1+Assumptions!C18*1+Assumptions!C19+Assumptions!C21+Assumptions!C23*1+Assumptions!C20)</f>
        <v>3786000</v>
      </c>
      <c r="F4" s="8">
        <f>Assumptions!C9*600000</f>
        <v>3600000</v>
      </c>
      <c r="G4" s="25">
        <f>Assumptions!C9*600000-(Assumptions!C8+Assumptions!C15*1+Assumptions!C18*1+Assumptions!C19+Assumptions!C21+Assumptions!C23*1+Assumptions!C20)</f>
        <v>-186000</v>
      </c>
      <c r="H4" s="47">
        <f>IFERROR((Assumptions!C9*600000-(Assumptions!C8+Assumptions!C15*1+Assumptions!C18*1+Assumptions!C19+Assumptions!C21+Assumptions!C23*1+Assumptions!C20))/(Assumptions!C9*600000),0)</f>
        <v>-5.1666666666666666E-2</v>
      </c>
      <c r="I4" s="48">
        <f>IFERROR(Feasibility_Metrics!C18*(600000/600000)/(1),0)</f>
        <v>-4.0460725804651543E-2</v>
      </c>
    </row>
    <row r="5" spans="2:9" ht="15" customHeight="1" x14ac:dyDescent="0.2">
      <c r="B5" s="49" t="s">
        <v>231</v>
      </c>
      <c r="C5" s="16">
        <f>Assumptions!C15*1.1</f>
        <v>2200000</v>
      </c>
      <c r="D5" s="16">
        <v>600000</v>
      </c>
      <c r="E5" s="16">
        <f>(Assumptions!C8+Assumptions!C15*1.1+Assumptions!C18*1.1+Assumptions!C19+Assumptions!C21+Assumptions!C23*1.1+Assumptions!C20)</f>
        <v>4016000</v>
      </c>
      <c r="F5" s="16">
        <f>Assumptions!C9*600000</f>
        <v>3600000</v>
      </c>
      <c r="G5" s="27">
        <f>Assumptions!C9*600000-(Assumptions!C8+Assumptions!C15*1.1+Assumptions!C18*1.1+Assumptions!C19+Assumptions!C21+Assumptions!C23*1.1+Assumptions!C20)</f>
        <v>-416000</v>
      </c>
      <c r="H5" s="36">
        <f>IFERROR((Assumptions!C9*600000-(Assumptions!C8+Assumptions!C15*1.1+Assumptions!C18*1.1+Assumptions!C19+Assumptions!C21+Assumptions!C23*1.1+Assumptions!C20))/(Assumptions!C9*600000),0)</f>
        <v>-0.11555555555555555</v>
      </c>
      <c r="I5" s="50">
        <f>IFERROR(Feasibility_Metrics!C18*(600000/600000)/(1.1),0)</f>
        <v>-3.6782478004228673E-2</v>
      </c>
    </row>
    <row r="6" spans="2:9" ht="15" customHeight="1" x14ac:dyDescent="0.2">
      <c r="B6" s="51" t="s">
        <v>232</v>
      </c>
      <c r="C6" s="8">
        <f>Assumptions!C15*1.2</f>
        <v>2400000</v>
      </c>
      <c r="D6" s="8">
        <v>600000</v>
      </c>
      <c r="E6" s="8">
        <f>(Assumptions!C8+Assumptions!C15*1.2+Assumptions!C18*1.2+Assumptions!C19+Assumptions!C21+Assumptions!C23*1.2+Assumptions!C20)</f>
        <v>4246000</v>
      </c>
      <c r="F6" s="8">
        <f>Assumptions!C9*600000</f>
        <v>3600000</v>
      </c>
      <c r="G6" s="25">
        <f>Assumptions!C9*600000-(Assumptions!C8+Assumptions!C15*1.2+Assumptions!C18*1.2+Assumptions!C19+Assumptions!C21+Assumptions!C23*1.2+Assumptions!C20)</f>
        <v>-646000</v>
      </c>
      <c r="H6" s="47">
        <f>IFERROR((Assumptions!C9*600000-(Assumptions!C8+Assumptions!C15*1.2+Assumptions!C18*1.2+Assumptions!C19+Assumptions!C21+Assumptions!C23*1.2+Assumptions!C20))/(Assumptions!C9*600000),0)</f>
        <v>-0.17944444444444443</v>
      </c>
      <c r="I6" s="48">
        <f>IFERROR(Feasibility_Metrics!C18*(600000/600000)/(1.2),0)</f>
        <v>-3.3717271503876288E-2</v>
      </c>
    </row>
    <row r="7" spans="2:9" ht="15" customHeight="1" x14ac:dyDescent="0.2">
      <c r="B7" s="51" t="s">
        <v>233</v>
      </c>
      <c r="C7" s="16">
        <f>Assumptions!C15*1</f>
        <v>2000000</v>
      </c>
      <c r="D7" s="16">
        <v>540000</v>
      </c>
      <c r="E7" s="16">
        <f>(Assumptions!C8+Assumptions!C15*1+Assumptions!C18*1+Assumptions!C19+Assumptions!C21+Assumptions!C23*1+Assumptions!C20)</f>
        <v>3786000</v>
      </c>
      <c r="F7" s="16">
        <f>Assumptions!C9*540000</f>
        <v>3240000</v>
      </c>
      <c r="G7" s="27">
        <f>Assumptions!C9*540000-(Assumptions!C8+Assumptions!C15*1+Assumptions!C18*1+Assumptions!C19+Assumptions!C21+Assumptions!C23*1+Assumptions!C20)</f>
        <v>-546000</v>
      </c>
      <c r="H7" s="36">
        <f>IFERROR((Assumptions!C9*540000-(Assumptions!C8+Assumptions!C15*1+Assumptions!C18*1+Assumptions!C19+Assumptions!C21+Assumptions!C23*1+Assumptions!C20))/(Assumptions!C9*540000),0)</f>
        <v>-0.16851851851851851</v>
      </c>
      <c r="I7" s="50">
        <f>IFERROR(Feasibility_Metrics!C18*(540000/600000)/(1),0)</f>
        <v>-3.641465322418639E-2</v>
      </c>
    </row>
    <row r="8" spans="2:9" ht="15" customHeight="1" x14ac:dyDescent="0.2">
      <c r="B8" s="51" t="s">
        <v>234</v>
      </c>
      <c r="C8" s="8">
        <f>Assumptions!C15*1.1</f>
        <v>2200000</v>
      </c>
      <c r="D8" s="8">
        <v>540000</v>
      </c>
      <c r="E8" s="8">
        <f>(Assumptions!C8+Assumptions!C15*1.1+Assumptions!C18*1.1+Assumptions!C19+Assumptions!C21+Assumptions!C23*1.1+Assumptions!C20)</f>
        <v>4016000</v>
      </c>
      <c r="F8" s="8">
        <f>Assumptions!C9*540000</f>
        <v>3240000</v>
      </c>
      <c r="G8" s="25">
        <f>Assumptions!C9*540000-(Assumptions!C8+Assumptions!C15*1.1+Assumptions!C18*1.1+Assumptions!C19+Assumptions!C21+Assumptions!C23*1.1+Assumptions!C20)</f>
        <v>-776000</v>
      </c>
      <c r="H8" s="47">
        <f>IFERROR((Assumptions!C9*540000-(Assumptions!C8+Assumptions!C15*1.1+Assumptions!C18*1.1+Assumptions!C19+Assumptions!C21+Assumptions!C23*1.1+Assumptions!C20))/(Assumptions!C9*540000),0)</f>
        <v>-0.23950617283950618</v>
      </c>
      <c r="I8" s="48">
        <f>IFERROR(Feasibility_Metrics!C18*(540000/600000)/(1.1),0)</f>
        <v>-3.3104230203805804E-2</v>
      </c>
    </row>
    <row r="9" spans="2:9" ht="15" customHeight="1" x14ac:dyDescent="0.2">
      <c r="B9" s="52" t="s">
        <v>235</v>
      </c>
      <c r="C9" s="16">
        <f>Assumptions!C15*1</f>
        <v>2000000</v>
      </c>
      <c r="D9" s="16">
        <v>600000</v>
      </c>
      <c r="E9" s="16">
        <f>(Assumptions!C8+Assumptions!C15*1+Assumptions!C18*1+Assumptions!C19+Assumptions!C21+Assumptions!C23*1+Assumptions!C20)</f>
        <v>3786000</v>
      </c>
      <c r="F9" s="16">
        <f>Assumptions!C9*600000</f>
        <v>3600000</v>
      </c>
      <c r="G9" s="27">
        <f>Assumptions!C9*600000-(Assumptions!C8+Assumptions!C15*1+Assumptions!C18*1+Assumptions!C19+Assumptions!C21+Assumptions!C23*1+Assumptions!C20)</f>
        <v>-186000</v>
      </c>
      <c r="H9" s="36">
        <f>IFERROR((Assumptions!C9*600000-(Assumptions!C8+Assumptions!C15*1+Assumptions!C18*1+Assumptions!C19+Assumptions!C21+Assumptions!C23*1+Assumptions!C20))/(Assumptions!C9*600000),0)</f>
        <v>-5.1666666666666666E-2</v>
      </c>
      <c r="I9" s="50">
        <f>IFERROR(Feasibility_Metrics!C18*(600000/600000)/(1),0)</f>
        <v>-4.0460725804651543E-2</v>
      </c>
    </row>
    <row r="12" spans="2:9" ht="15.75" customHeight="1" x14ac:dyDescent="0.2">
      <c r="B12" s="113" t="s">
        <v>236</v>
      </c>
      <c r="C12" s="113"/>
      <c r="D12" s="113"/>
      <c r="E12" s="113"/>
      <c r="F12" s="113"/>
      <c r="G12" s="113"/>
      <c r="H12" s="113"/>
      <c r="I12" s="113"/>
    </row>
    <row r="13" spans="2:9" ht="13.5" customHeight="1" x14ac:dyDescent="0.2">
      <c r="B13" s="115" t="s">
        <v>237</v>
      </c>
      <c r="C13" s="115"/>
      <c r="D13" s="115"/>
      <c r="E13" s="115"/>
      <c r="F13" s="115"/>
      <c r="G13" s="115"/>
      <c r="H13" s="115"/>
    </row>
    <row r="14" spans="2:9" ht="15.75" customHeight="1" x14ac:dyDescent="0.2">
      <c r="B14" s="83" t="s">
        <v>238</v>
      </c>
      <c r="C14" s="83" t="s">
        <v>239</v>
      </c>
      <c r="D14" s="83" t="s">
        <v>240</v>
      </c>
      <c r="E14" s="83" t="s">
        <v>241</v>
      </c>
      <c r="F14" s="83" t="s">
        <v>242</v>
      </c>
      <c r="G14" s="83" t="s">
        <v>243</v>
      </c>
      <c r="H14" s="83" t="s">
        <v>244</v>
      </c>
      <c r="I14" s="83" t="s">
        <v>245</v>
      </c>
    </row>
    <row r="15" spans="2:9" ht="15" customHeight="1" x14ac:dyDescent="0.2">
      <c r="B15" s="88" t="s">
        <v>246</v>
      </c>
      <c r="C15" s="89">
        <f>IFERROR((Assumptions!C9*540000-Assumptions!C25*(1+0))/(Assumptions!C9*540000),0)</f>
        <v>-0.16851851851851851</v>
      </c>
      <c r="D15" s="89">
        <f>IFERROR((Assumptions!C9*560000-Assumptions!C25*(1+0))/(Assumptions!C9*560000),0)</f>
        <v>-0.12678571428571428</v>
      </c>
      <c r="E15" s="53">
        <f>IFERROR((Assumptions!C9*580000-Assumptions!C25*(1+0))/(Assumptions!C9*580000),0)</f>
        <v>-8.7931034482758616E-2</v>
      </c>
      <c r="F15" s="53">
        <f>IFERROR((Assumptions!C9*600000-Assumptions!C25*(1+0))/(Assumptions!C9*600000),0)</f>
        <v>-5.1666666666666666E-2</v>
      </c>
      <c r="G15" s="53">
        <f>IFERROR((Assumptions!C9*620000-Assumptions!C25*(1+0))/(Assumptions!C9*620000),0)</f>
        <v>-1.7741935483870968E-2</v>
      </c>
      <c r="H15" s="53">
        <f>IFERROR((Assumptions!C9*640000-Assumptions!C25*(1+0))/(Assumptions!C9*640000),0)</f>
        <v>1.40625E-2</v>
      </c>
      <c r="I15" s="54" t="s">
        <v>247</v>
      </c>
    </row>
    <row r="16" spans="2:9" ht="15" customHeight="1" x14ac:dyDescent="0.2">
      <c r="B16" s="1" t="s">
        <v>248</v>
      </c>
      <c r="C16" s="53">
        <f>IFERROR((Assumptions!C9*540000-Assumptions!C25*(1+0.05))/(Assumptions!C9*540000),0)</f>
        <v>-0.22694444444444445</v>
      </c>
      <c r="D16" s="53">
        <f>IFERROR((Assumptions!C9*560000-Assumptions!C25*(1+0.05))/(Assumptions!C9*560000),0)</f>
        <v>-0.18312500000000001</v>
      </c>
      <c r="E16" s="53">
        <f>IFERROR((Assumptions!C9*580000-Assumptions!C25*(1+0.05))/(Assumptions!C9*580000),0)</f>
        <v>-0.14232758620689656</v>
      </c>
      <c r="F16" s="53">
        <f>IFERROR((Assumptions!C9*600000-Assumptions!C25*(1+0.05))/(Assumptions!C9*600000),0)</f>
        <v>-0.10425</v>
      </c>
      <c r="G16" s="53">
        <f>IFERROR((Assumptions!C9*620000-Assumptions!C25*(1+0.05))/(Assumptions!C9*620000),0)</f>
        <v>-6.8629032258064521E-2</v>
      </c>
      <c r="H16" s="53">
        <f>IFERROR((Assumptions!C9*640000-Assumptions!C25*(1+0.05))/(Assumptions!C9*640000),0)</f>
        <v>-3.5234374999999998E-2</v>
      </c>
      <c r="I16" s="54" t="s">
        <v>249</v>
      </c>
    </row>
    <row r="17" spans="2:9" ht="15" customHeight="1" x14ac:dyDescent="0.2">
      <c r="B17" s="2" t="s">
        <v>250</v>
      </c>
      <c r="C17" s="53">
        <f>IFERROR((Assumptions!C9*540000-Assumptions!C25*(1+0.1))/(Assumptions!C9*540000),0)</f>
        <v>-0.2853703703703705</v>
      </c>
      <c r="D17" s="53">
        <f>IFERROR((Assumptions!C9*560000-Assumptions!C25*(1+0.1))/(Assumptions!C9*560000),0)</f>
        <v>-0.23946428571428585</v>
      </c>
      <c r="E17" s="53">
        <f>IFERROR((Assumptions!C9*580000-Assumptions!C25*(1+0.1))/(Assumptions!C9*580000),0)</f>
        <v>-0.1967241379310346</v>
      </c>
      <c r="F17" s="53">
        <f>IFERROR((Assumptions!C9*600000-Assumptions!C25*(1+0.1))/(Assumptions!C9*600000),0)</f>
        <v>-0.15683333333333346</v>
      </c>
      <c r="G17" s="53">
        <f>IFERROR((Assumptions!C9*620000-Assumptions!C25*(1+0.1))/(Assumptions!C9*620000),0)</f>
        <v>-0.11951612903225819</v>
      </c>
      <c r="H17" s="53">
        <f>IFERROR((Assumptions!C9*640000-Assumptions!C25*(1+0.1))/(Assumptions!C9*640000),0)</f>
        <v>-8.4531250000000127E-2</v>
      </c>
      <c r="I17" s="54" t="s">
        <v>251</v>
      </c>
    </row>
    <row r="18" spans="2:9" ht="15" customHeight="1" x14ac:dyDescent="0.2">
      <c r="B18" s="1" t="s">
        <v>252</v>
      </c>
      <c r="C18" s="53">
        <f>IFERROR((Assumptions!C9*540000-Assumptions!C25*(1+0.15))/(Assumptions!C9*540000),0)</f>
        <v>-0.34379629629629632</v>
      </c>
      <c r="D18" s="53">
        <f>IFERROR((Assumptions!C9*560000-Assumptions!C25*(1+0.15))/(Assumptions!C9*560000),0)</f>
        <v>-0.29580357142857144</v>
      </c>
      <c r="E18" s="53">
        <f>IFERROR((Assumptions!C9*580000-Assumptions!C25*(1+0.15))/(Assumptions!C9*580000),0)</f>
        <v>-0.25112068965517242</v>
      </c>
      <c r="F18" s="53">
        <f>IFERROR((Assumptions!C9*600000-Assumptions!C25*(1+0.15))/(Assumptions!C9*600000),0)</f>
        <v>-0.20941666666666667</v>
      </c>
      <c r="G18" s="53">
        <f>IFERROR((Assumptions!C9*620000-Assumptions!C25*(1+0.15))/(Assumptions!C9*620000),0)</f>
        <v>-0.17040322580645162</v>
      </c>
      <c r="H18" s="53">
        <f>IFERROR((Assumptions!C9*640000-Assumptions!C25*(1+0.15))/(Assumptions!C9*640000),0)</f>
        <v>-0.13382812499999999</v>
      </c>
      <c r="I18" s="54" t="s">
        <v>253</v>
      </c>
    </row>
    <row r="19" spans="2:9" ht="15" customHeight="1" x14ac:dyDescent="0.2">
      <c r="B19" s="2" t="s">
        <v>254</v>
      </c>
      <c r="C19" s="53">
        <f>IFERROR((Assumptions!C9*540000-Assumptions!C25*(1+0.2))/(Assumptions!C9*540000),0)</f>
        <v>-0.4022222222222222</v>
      </c>
      <c r="D19" s="53">
        <f>IFERROR((Assumptions!C9*560000-Assumptions!C25*(1+0.2))/(Assumptions!C9*560000),0)</f>
        <v>-0.35214285714285715</v>
      </c>
      <c r="E19" s="53">
        <f>IFERROR((Assumptions!C9*580000-Assumptions!C25*(1+0.2))/(Assumptions!C9*580000),0)</f>
        <v>-0.30551724137931036</v>
      </c>
      <c r="F19" s="53">
        <f>IFERROR((Assumptions!C9*600000-Assumptions!C25*(1+0.2))/(Assumptions!C9*600000),0)</f>
        <v>-0.26200000000000001</v>
      </c>
      <c r="G19" s="53">
        <f>IFERROR((Assumptions!C9*620000-Assumptions!C25*(1+0.2))/(Assumptions!C9*620000),0)</f>
        <v>-0.22129032258064515</v>
      </c>
      <c r="H19" s="53">
        <f>IFERROR((Assumptions!C9*640000-Assumptions!C25*(1+0.2))/(Assumptions!C9*640000),0)</f>
        <v>-0.18312500000000001</v>
      </c>
      <c r="I19" s="54" t="s">
        <v>255</v>
      </c>
    </row>
    <row r="20" spans="2:9" ht="15" customHeight="1" x14ac:dyDescent="0.2">
      <c r="B20" s="1" t="s">
        <v>256</v>
      </c>
      <c r="C20" s="53">
        <f>IFERROR((Assumptions!C9*540000-Assumptions!C25*(1+0.25))/(Assumptions!C9*540000),0)</f>
        <v>-0.46064814814814814</v>
      </c>
      <c r="D20" s="53">
        <f>IFERROR((Assumptions!C9*560000-Assumptions!C25*(1+0.25))/(Assumptions!C9*560000),0)</f>
        <v>-0.40848214285714285</v>
      </c>
      <c r="E20" s="53">
        <f>IFERROR((Assumptions!C9*580000-Assumptions!C25*(1+0.25))/(Assumptions!C9*580000),0)</f>
        <v>-0.35991379310344829</v>
      </c>
      <c r="F20" s="53">
        <f>IFERROR((Assumptions!C9*600000-Assumptions!C25*(1+0.25))/(Assumptions!C9*600000),0)</f>
        <v>-0.31458333333333333</v>
      </c>
      <c r="G20" s="53">
        <f>IFERROR((Assumptions!C9*620000-Assumptions!C25*(1+0.25))/(Assumptions!C9*620000),0)</f>
        <v>-0.27217741935483869</v>
      </c>
      <c r="H20" s="53">
        <f>IFERROR((Assumptions!C9*640000-Assumptions!C25*(1+0.25))/(Assumptions!C9*640000),0)</f>
        <v>-0.232421875</v>
      </c>
      <c r="I20" s="54" t="s">
        <v>257</v>
      </c>
    </row>
    <row r="23" spans="2:9" ht="15.75" customHeight="1" x14ac:dyDescent="0.2">
      <c r="B23" s="113" t="s">
        <v>258</v>
      </c>
      <c r="C23" s="113"/>
      <c r="D23" s="113"/>
      <c r="E23" s="113"/>
      <c r="F23" s="113"/>
      <c r="G23" s="113"/>
      <c r="H23" s="113"/>
      <c r="I23" s="113"/>
    </row>
    <row r="24" spans="2:9" ht="15" customHeight="1" x14ac:dyDescent="0.2">
      <c r="B24" s="1" t="s">
        <v>259</v>
      </c>
      <c r="C24" s="47">
        <f>IFERROR(Scenario_Analysis!E5-Scenario_Analysis!E4,0)</f>
        <v>230000</v>
      </c>
      <c r="D24" s="115" t="s">
        <v>260</v>
      </c>
      <c r="E24" s="115"/>
      <c r="F24" s="115"/>
      <c r="G24" s="115"/>
      <c r="H24" s="115"/>
      <c r="I24" s="115"/>
    </row>
    <row r="25" spans="2:9" ht="15" customHeight="1" x14ac:dyDescent="0.2">
      <c r="B25" s="2" t="s">
        <v>261</v>
      </c>
      <c r="C25" s="36">
        <f>IFERROR(Scenario_Analysis!E6-Scenario_Analysis!E4,0)</f>
        <v>460000</v>
      </c>
      <c r="D25" s="115" t="s">
        <v>262</v>
      </c>
      <c r="E25" s="115"/>
      <c r="F25" s="115"/>
      <c r="G25" s="115"/>
      <c r="H25" s="115"/>
      <c r="I25" s="115"/>
    </row>
    <row r="26" spans="2:9" ht="15" customHeight="1" x14ac:dyDescent="0.2">
      <c r="B26" s="1" t="s">
        <v>263</v>
      </c>
      <c r="C26" s="35">
        <f>IFERROR(Scenario_Analysis!E7-Scenario_Analysis!E4,0)</f>
        <v>0</v>
      </c>
      <c r="D26" s="115" t="s">
        <v>264</v>
      </c>
      <c r="E26" s="115"/>
      <c r="F26" s="115"/>
      <c r="G26" s="115"/>
      <c r="H26" s="115"/>
      <c r="I26" s="115"/>
    </row>
    <row r="27" spans="2:9" ht="15" customHeight="1" x14ac:dyDescent="0.2">
      <c r="B27" s="2" t="s">
        <v>265</v>
      </c>
      <c r="C27" s="35">
        <f>IFERROR(Scenario_Analysis!E8-Scenario_Analysis!E4,0)</f>
        <v>230000</v>
      </c>
      <c r="D27" s="115" t="s">
        <v>266</v>
      </c>
      <c r="E27" s="115"/>
      <c r="F27" s="115"/>
      <c r="G27" s="115"/>
      <c r="H27" s="115"/>
      <c r="I27" s="115"/>
    </row>
    <row r="28" spans="2:9" ht="15" customHeight="1" x14ac:dyDescent="0.2">
      <c r="B28" s="1" t="s">
        <v>267</v>
      </c>
      <c r="C28" s="18">
        <f>Feasibility_Metrics!C14</f>
        <v>631000</v>
      </c>
      <c r="D28" s="115" t="s">
        <v>268</v>
      </c>
      <c r="E28" s="115"/>
      <c r="F28" s="115"/>
      <c r="G28" s="115"/>
      <c r="H28" s="115"/>
      <c r="I28" s="115"/>
    </row>
    <row r="29" spans="2:9" ht="15" customHeight="1" x14ac:dyDescent="0.2">
      <c r="B29" s="2" t="s">
        <v>269</v>
      </c>
      <c r="C29" s="36">
        <f>IFERROR((Assumptions!C31-Assumptions!C25)/Assumptions!C25,0)</f>
        <v>-4.9128367670364499E-2</v>
      </c>
      <c r="D29" s="115" t="s">
        <v>270</v>
      </c>
      <c r="E29" s="115"/>
      <c r="F29" s="115"/>
      <c r="G29" s="115"/>
      <c r="H29" s="115"/>
      <c r="I29" s="115"/>
    </row>
  </sheetData>
  <mergeCells count="11">
    <mergeCell ref="B1:H1"/>
    <mergeCell ref="B2:I2"/>
    <mergeCell ref="B12:I12"/>
    <mergeCell ref="B13:H13"/>
    <mergeCell ref="B23:I23"/>
    <mergeCell ref="D29:I29"/>
    <mergeCell ref="D24:I24"/>
    <mergeCell ref="D25:I25"/>
    <mergeCell ref="D26:I26"/>
    <mergeCell ref="D27:I27"/>
    <mergeCell ref="D28:I28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B1:H23"/>
  <sheetViews>
    <sheetView showGridLines="0" zoomScaleNormal="100" workbookViewId="0">
      <selection activeCell="D27" sqref="D27"/>
    </sheetView>
  </sheetViews>
  <sheetFormatPr baseColWidth="10" defaultColWidth="8.6640625" defaultRowHeight="15" x14ac:dyDescent="0.2"/>
  <cols>
    <col min="1" max="1" width="3" customWidth="1"/>
    <col min="2" max="2" width="36" customWidth="1"/>
    <col min="3" max="5" width="16" customWidth="1"/>
    <col min="6" max="6" width="44.1640625" customWidth="1"/>
    <col min="7" max="7" width="16" customWidth="1"/>
    <col min="8" max="8" width="67.6640625" customWidth="1"/>
  </cols>
  <sheetData>
    <row r="1" spans="2:8" ht="27.75" customHeight="1" x14ac:dyDescent="0.2">
      <c r="B1" s="112" t="s">
        <v>271</v>
      </c>
      <c r="C1" s="112"/>
      <c r="D1" s="112"/>
      <c r="E1" s="112"/>
      <c r="F1" s="112"/>
      <c r="G1" s="112"/>
      <c r="H1" s="112"/>
    </row>
    <row r="2" spans="2:8" ht="15.75" customHeight="1" x14ac:dyDescent="0.2">
      <c r="B2" s="113" t="s">
        <v>272</v>
      </c>
      <c r="C2" s="113"/>
      <c r="D2" s="113"/>
      <c r="E2" s="113"/>
      <c r="F2" s="113"/>
      <c r="G2" s="113"/>
      <c r="H2" s="113"/>
    </row>
    <row r="3" spans="2:8" ht="15.75" customHeight="1" x14ac:dyDescent="0.2">
      <c r="B3" s="82" t="s">
        <v>273</v>
      </c>
      <c r="C3" s="82" t="s">
        <v>274</v>
      </c>
      <c r="D3" s="82" t="s">
        <v>275</v>
      </c>
      <c r="E3" s="82" t="s">
        <v>276</v>
      </c>
      <c r="F3" s="82" t="s">
        <v>277</v>
      </c>
      <c r="G3" s="82" t="s">
        <v>278</v>
      </c>
      <c r="H3" s="82" t="s">
        <v>279</v>
      </c>
    </row>
    <row r="4" spans="2:8" ht="15" customHeight="1" x14ac:dyDescent="0.2">
      <c r="B4" s="21" t="s">
        <v>280</v>
      </c>
      <c r="C4" s="39" t="s">
        <v>281</v>
      </c>
      <c r="D4" s="39" t="s">
        <v>282</v>
      </c>
      <c r="E4" s="39" t="s">
        <v>282</v>
      </c>
      <c r="F4" s="55" t="s">
        <v>283</v>
      </c>
      <c r="G4" s="30" t="s">
        <v>284</v>
      </c>
      <c r="H4" s="31" t="s">
        <v>285</v>
      </c>
    </row>
    <row r="5" spans="2:8" ht="15" customHeight="1" x14ac:dyDescent="0.2">
      <c r="B5" s="2" t="s">
        <v>286</v>
      </c>
      <c r="C5" s="38" t="s">
        <v>287</v>
      </c>
      <c r="D5" s="38" t="s">
        <v>288</v>
      </c>
      <c r="E5" s="38" t="s">
        <v>282</v>
      </c>
      <c r="F5" s="56" t="s">
        <v>289</v>
      </c>
      <c r="G5" s="32" t="s">
        <v>290</v>
      </c>
      <c r="H5" s="33" t="s">
        <v>291</v>
      </c>
    </row>
    <row r="6" spans="2:8" ht="15" customHeight="1" x14ac:dyDescent="0.2">
      <c r="B6" s="1" t="s">
        <v>292</v>
      </c>
      <c r="C6" s="39" t="s">
        <v>293</v>
      </c>
      <c r="D6" s="39" t="s">
        <v>288</v>
      </c>
      <c r="E6" s="39" t="s">
        <v>282</v>
      </c>
      <c r="F6" s="56" t="s">
        <v>289</v>
      </c>
      <c r="G6" s="30" t="s">
        <v>212</v>
      </c>
      <c r="H6" s="31" t="s">
        <v>294</v>
      </c>
    </row>
    <row r="7" spans="2:8" ht="15" customHeight="1" x14ac:dyDescent="0.2">
      <c r="B7" s="2" t="s">
        <v>295</v>
      </c>
      <c r="C7" s="38" t="s">
        <v>296</v>
      </c>
      <c r="D7" s="38" t="s">
        <v>288</v>
      </c>
      <c r="E7" s="38" t="s">
        <v>288</v>
      </c>
      <c r="F7" s="57" t="s">
        <v>297</v>
      </c>
      <c r="G7" s="32" t="s">
        <v>298</v>
      </c>
      <c r="H7" s="33" t="s">
        <v>299</v>
      </c>
    </row>
    <row r="8" spans="2:8" ht="15" customHeight="1" x14ac:dyDescent="0.2">
      <c r="B8" s="1" t="s">
        <v>300</v>
      </c>
      <c r="C8" s="39" t="s">
        <v>301</v>
      </c>
      <c r="D8" s="39" t="s">
        <v>302</v>
      </c>
      <c r="E8" s="39" t="s">
        <v>288</v>
      </c>
      <c r="F8" s="57" t="s">
        <v>297</v>
      </c>
      <c r="G8" s="30" t="s">
        <v>212</v>
      </c>
      <c r="H8" s="31" t="s">
        <v>303</v>
      </c>
    </row>
    <row r="9" spans="2:8" ht="15" customHeight="1" x14ac:dyDescent="0.2">
      <c r="B9" s="2" t="s">
        <v>304</v>
      </c>
      <c r="C9" s="38" t="s">
        <v>305</v>
      </c>
      <c r="D9" s="38" t="s">
        <v>288</v>
      </c>
      <c r="E9" s="38" t="s">
        <v>288</v>
      </c>
      <c r="F9" s="57" t="s">
        <v>297</v>
      </c>
      <c r="G9" s="32" t="s">
        <v>298</v>
      </c>
      <c r="H9" s="33" t="s">
        <v>306</v>
      </c>
    </row>
    <row r="10" spans="2:8" ht="15" customHeight="1" x14ac:dyDescent="0.2">
      <c r="B10" s="1" t="s">
        <v>307</v>
      </c>
      <c r="C10" s="39" t="s">
        <v>293</v>
      </c>
      <c r="D10" s="39" t="s">
        <v>302</v>
      </c>
      <c r="E10" s="39" t="s">
        <v>282</v>
      </c>
      <c r="F10" s="57" t="s">
        <v>297</v>
      </c>
      <c r="G10" s="30" t="s">
        <v>308</v>
      </c>
      <c r="H10" s="31" t="s">
        <v>309</v>
      </c>
    </row>
    <row r="11" spans="2:8" ht="15" customHeight="1" x14ac:dyDescent="0.2">
      <c r="B11" s="2" t="s">
        <v>310</v>
      </c>
      <c r="C11" s="38" t="s">
        <v>281</v>
      </c>
      <c r="D11" s="38" t="s">
        <v>302</v>
      </c>
      <c r="E11" s="38" t="s">
        <v>282</v>
      </c>
      <c r="F11" s="57" t="s">
        <v>297</v>
      </c>
      <c r="G11" s="32" t="s">
        <v>311</v>
      </c>
      <c r="H11" s="33" t="s">
        <v>312</v>
      </c>
    </row>
    <row r="12" spans="2:8" ht="15" customHeight="1" x14ac:dyDescent="0.2">
      <c r="B12" s="1" t="s">
        <v>313</v>
      </c>
      <c r="C12" s="39" t="s">
        <v>301</v>
      </c>
      <c r="D12" s="39" t="s">
        <v>302</v>
      </c>
      <c r="E12" s="39" t="s">
        <v>282</v>
      </c>
      <c r="F12" s="34" t="s">
        <v>314</v>
      </c>
      <c r="G12" s="30" t="s">
        <v>311</v>
      </c>
      <c r="H12" s="31" t="s">
        <v>315</v>
      </c>
    </row>
    <row r="14" spans="2:8" ht="15.75" customHeight="1" x14ac:dyDescent="0.2">
      <c r="B14" s="113" t="s">
        <v>316</v>
      </c>
      <c r="C14" s="113"/>
      <c r="D14" s="113"/>
      <c r="E14" s="113"/>
      <c r="F14" s="113"/>
      <c r="G14" s="113"/>
      <c r="H14" s="113"/>
    </row>
    <row r="15" spans="2:8" ht="19.5" customHeight="1" x14ac:dyDescent="0.2">
      <c r="B15" s="116" t="s">
        <v>317</v>
      </c>
      <c r="C15" s="116"/>
      <c r="D15" s="116"/>
      <c r="E15" s="116"/>
      <c r="F15" s="116"/>
      <c r="G15" s="116"/>
      <c r="H15" s="116"/>
    </row>
    <row r="16" spans="2:8" ht="15.75" customHeight="1" x14ac:dyDescent="0.2">
      <c r="B16" s="82" t="s">
        <v>318</v>
      </c>
      <c r="C16" s="82" t="s">
        <v>319</v>
      </c>
      <c r="D16" s="82" t="s">
        <v>227</v>
      </c>
      <c r="E16" s="82" t="s">
        <v>320</v>
      </c>
      <c r="F16" s="82" t="s">
        <v>321</v>
      </c>
    </row>
    <row r="17" spans="2:6" ht="15" customHeight="1" x14ac:dyDescent="0.2">
      <c r="B17" s="2" t="s">
        <v>322</v>
      </c>
      <c r="C17" s="58">
        <v>0.17799999999999999</v>
      </c>
      <c r="D17" s="27">
        <v>178000</v>
      </c>
      <c r="E17" s="58">
        <v>0.24299999999999999</v>
      </c>
      <c r="F17" s="59" t="s">
        <v>323</v>
      </c>
    </row>
    <row r="18" spans="2:6" ht="15" customHeight="1" x14ac:dyDescent="0.2">
      <c r="B18" s="1" t="s">
        <v>324</v>
      </c>
      <c r="C18" s="60">
        <v>0.17199999999999999</v>
      </c>
      <c r="D18" s="25">
        <v>172000</v>
      </c>
      <c r="E18" s="60">
        <v>0.23499999999999999</v>
      </c>
      <c r="F18" s="61" t="s">
        <v>325</v>
      </c>
    </row>
    <row r="19" spans="2:6" ht="15" customHeight="1" x14ac:dyDescent="0.2">
      <c r="B19" s="2" t="s">
        <v>326</v>
      </c>
      <c r="C19" s="58">
        <v>7.0999999999999994E-2</v>
      </c>
      <c r="D19" s="27">
        <v>71000</v>
      </c>
      <c r="E19" s="58">
        <v>0.122</v>
      </c>
      <c r="F19" s="59" t="s">
        <v>327</v>
      </c>
    </row>
    <row r="20" spans="2:6" ht="15" customHeight="1" x14ac:dyDescent="0.2">
      <c r="B20" s="1" t="s">
        <v>328</v>
      </c>
      <c r="C20" s="60">
        <v>0.28499999999999998</v>
      </c>
      <c r="D20" s="25">
        <v>285000</v>
      </c>
      <c r="E20" s="60">
        <v>0.36799999999999999</v>
      </c>
      <c r="F20" s="61" t="s">
        <v>329</v>
      </c>
    </row>
    <row r="21" spans="2:6" ht="15" customHeight="1" x14ac:dyDescent="0.2">
      <c r="B21" s="2" t="s">
        <v>330</v>
      </c>
      <c r="C21" s="58">
        <v>6.2E-2</v>
      </c>
      <c r="D21" s="27">
        <v>62000</v>
      </c>
      <c r="E21" s="58">
        <v>7.4999999999999997E-2</v>
      </c>
      <c r="F21" s="59" t="s">
        <v>331</v>
      </c>
    </row>
    <row r="22" spans="2:6" ht="15" customHeight="1" x14ac:dyDescent="0.2">
      <c r="B22" s="1" t="s">
        <v>332</v>
      </c>
      <c r="C22" s="62" t="s">
        <v>333</v>
      </c>
      <c r="D22" s="63" t="s">
        <v>334</v>
      </c>
      <c r="E22" s="63" t="s">
        <v>334</v>
      </c>
      <c r="F22" s="61" t="s">
        <v>335</v>
      </c>
    </row>
    <row r="23" spans="2:6" ht="15" customHeight="1" x14ac:dyDescent="0.2">
      <c r="B23" s="2" t="s">
        <v>336</v>
      </c>
      <c r="C23" s="64" t="s">
        <v>334</v>
      </c>
      <c r="D23" s="64" t="s">
        <v>334</v>
      </c>
      <c r="E23" s="65" t="s">
        <v>337</v>
      </c>
      <c r="F23" s="59" t="s">
        <v>338</v>
      </c>
    </row>
  </sheetData>
  <mergeCells count="4">
    <mergeCell ref="B1:H1"/>
    <mergeCell ref="B2:H2"/>
    <mergeCell ref="B14:H14"/>
    <mergeCell ref="B15:H1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E4620"/>
  </sheetPr>
  <dimension ref="B1:U24"/>
  <sheetViews>
    <sheetView showGridLines="0" zoomScale="75" zoomScaleNormal="100" workbookViewId="0">
      <selection activeCell="U40" sqref="U40"/>
    </sheetView>
  </sheetViews>
  <sheetFormatPr baseColWidth="10" defaultColWidth="8.6640625" defaultRowHeight="15" x14ac:dyDescent="0.2"/>
  <cols>
    <col min="1" max="1" width="3" customWidth="1"/>
    <col min="2" max="2" width="26" customWidth="1"/>
    <col min="3" max="21" width="12" customWidth="1"/>
  </cols>
  <sheetData>
    <row r="1" spans="2:21" ht="37.5" customHeight="1" x14ac:dyDescent="0.2">
      <c r="B1" s="125" t="s">
        <v>381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</row>
    <row r="3" spans="2:21" ht="15.75" customHeight="1" x14ac:dyDescent="0.2">
      <c r="B3" s="126" t="s">
        <v>339</v>
      </c>
      <c r="C3" s="126"/>
      <c r="D3" s="126"/>
      <c r="E3" s="127" t="s">
        <v>340</v>
      </c>
      <c r="F3" s="127"/>
      <c r="G3" s="127"/>
      <c r="H3" s="128" t="s">
        <v>341</v>
      </c>
      <c r="I3" s="128"/>
      <c r="J3" s="128"/>
      <c r="K3" s="127" t="s">
        <v>342</v>
      </c>
      <c r="L3" s="127"/>
      <c r="M3" s="127"/>
      <c r="N3" s="126" t="s">
        <v>343</v>
      </c>
      <c r="O3" s="126"/>
      <c r="P3" s="126"/>
      <c r="Q3" s="129" t="s">
        <v>344</v>
      </c>
      <c r="R3" s="129"/>
      <c r="S3" s="129"/>
    </row>
    <row r="4" spans="2:21" ht="30" customHeight="1" x14ac:dyDescent="0.2">
      <c r="B4" s="121">
        <f>Feasibility_Metrics!C4</f>
        <v>3600000</v>
      </c>
      <c r="C4" s="121"/>
      <c r="D4" s="121"/>
      <c r="E4" s="122">
        <f>Feasibility_Metrics!C6</f>
        <v>-186000</v>
      </c>
      <c r="F4" s="122"/>
      <c r="G4" s="122"/>
      <c r="H4" s="123">
        <f>Feasibility_Metrics!C7</f>
        <v>-5.1666666666666666E-2</v>
      </c>
      <c r="I4" s="123"/>
      <c r="J4" s="123"/>
      <c r="K4" s="124">
        <f>Feasibility_Metrics!C18</f>
        <v>-4.0460725804651543E-2</v>
      </c>
      <c r="L4" s="124"/>
      <c r="M4" s="124"/>
      <c r="N4" s="121">
        <f>Feasibility_Metrics!C19</f>
        <v>-613330.99489795952</v>
      </c>
      <c r="O4" s="121"/>
      <c r="P4" s="121"/>
      <c r="Q4" s="119">
        <f>Feasibility_Metrics!C20</f>
        <v>2.4387593389178175</v>
      </c>
      <c r="R4" s="119"/>
      <c r="S4" s="119"/>
    </row>
    <row r="5" spans="2:21" ht="9.75" customHeight="1" x14ac:dyDescent="0.2">
      <c r="B5" s="121"/>
      <c r="C5" s="121"/>
      <c r="D5" s="121"/>
      <c r="E5" s="122"/>
      <c r="F5" s="122"/>
      <c r="G5" s="122"/>
      <c r="H5" s="123"/>
      <c r="I5" s="123"/>
      <c r="J5" s="123"/>
      <c r="K5" s="124"/>
      <c r="L5" s="124"/>
      <c r="M5" s="124"/>
      <c r="N5" s="121"/>
      <c r="O5" s="121"/>
      <c r="P5" s="121"/>
      <c r="Q5" s="119"/>
      <c r="R5" s="119"/>
      <c r="S5" s="119"/>
    </row>
    <row r="6" spans="2:21" ht="13.5" customHeight="1" x14ac:dyDescent="0.2">
      <c r="B6" s="120" t="s">
        <v>345</v>
      </c>
      <c r="C6" s="120"/>
      <c r="D6" s="120"/>
      <c r="E6" s="120" t="s">
        <v>346</v>
      </c>
      <c r="F6" s="120"/>
      <c r="G6" s="120"/>
      <c r="H6" s="120" t="s">
        <v>347</v>
      </c>
      <c r="I6" s="120"/>
      <c r="J6" s="120"/>
      <c r="K6" s="120" t="s">
        <v>348</v>
      </c>
      <c r="L6" s="120"/>
      <c r="M6" s="120"/>
      <c r="N6" s="120" t="s">
        <v>349</v>
      </c>
      <c r="O6" s="120"/>
      <c r="P6" s="120"/>
      <c r="Q6" s="120" t="s">
        <v>350</v>
      </c>
      <c r="R6" s="120"/>
      <c r="S6" s="120"/>
    </row>
    <row r="8" spans="2:21" ht="21.75" customHeight="1" x14ac:dyDescent="0.2">
      <c r="B8" s="114" t="str">
        <f>IF(AND(Feasibility_Metrics!C7&gt;=0.15,Feasibility_Metrics!C18&gt;=0.2,Feasibility_Metrics!C19&gt;0),"✅  PROJECT IS FEASIBLE — All three gates pass (Margin ≥15%, IRR ≥20%, NPV &gt; $0)","❌  PROJECT FAILS ONE OR MORE GATES — Review cost structure or sale pricing")</f>
        <v>❌  PROJECT FAILS ONE OR MORE GATES — Review cost structure or sale pricing</v>
      </c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114"/>
      <c r="S8" s="114"/>
    </row>
    <row r="10" spans="2:21" ht="15.75" customHeight="1" x14ac:dyDescent="0.2">
      <c r="B10" s="117" t="s">
        <v>351</v>
      </c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</row>
    <row r="11" spans="2:21" ht="15.75" customHeight="1" x14ac:dyDescent="0.2">
      <c r="B11" s="24" t="s">
        <v>352</v>
      </c>
      <c r="C11" s="4" t="s">
        <v>353</v>
      </c>
      <c r="D11" s="4" t="s">
        <v>354</v>
      </c>
      <c r="E11" s="4" t="s">
        <v>355</v>
      </c>
      <c r="F11" s="4" t="s">
        <v>83</v>
      </c>
    </row>
    <row r="12" spans="2:21" ht="15" customHeight="1" x14ac:dyDescent="0.2">
      <c r="B12" s="66" t="s">
        <v>157</v>
      </c>
      <c r="C12" s="67">
        <f>Dev_CashFlow!C24</f>
        <v>-1351000</v>
      </c>
      <c r="D12" s="67">
        <f>Dev_CashFlow!D24</f>
        <v>-221000</v>
      </c>
      <c r="E12" s="67">
        <f>Dev_CashFlow!E24</f>
        <v>-780000</v>
      </c>
      <c r="F12" s="67">
        <f>Dev_CashFlow!F24</f>
        <v>2074800</v>
      </c>
    </row>
    <row r="13" spans="2:21" ht="15" customHeight="1" x14ac:dyDescent="0.2">
      <c r="B13" s="66" t="s">
        <v>356</v>
      </c>
      <c r="C13" s="68">
        <f>Dev_CashFlow!C21</f>
        <v>0</v>
      </c>
      <c r="D13" s="68">
        <f>Dev_CashFlow!D21</f>
        <v>0</v>
      </c>
      <c r="E13" s="68">
        <f>Dev_CashFlow!E21</f>
        <v>360000</v>
      </c>
      <c r="F13" s="68">
        <f>Dev_CashFlow!F21</f>
        <v>3148800</v>
      </c>
    </row>
    <row r="14" spans="2:21" ht="15" customHeight="1" x14ac:dyDescent="0.2">
      <c r="B14" s="66" t="s">
        <v>357</v>
      </c>
      <c r="C14" s="67">
        <f>Dev_CashFlow!C14</f>
        <v>-1351000</v>
      </c>
      <c r="D14" s="67">
        <f>Dev_CashFlow!D14</f>
        <v>-221000</v>
      </c>
      <c r="E14" s="67">
        <f>Dev_CashFlow!E14</f>
        <v>-1140000</v>
      </c>
      <c r="F14" s="67">
        <f>Dev_CashFlow!F14</f>
        <v>-1074000</v>
      </c>
    </row>
    <row r="15" spans="2:21" ht="15" customHeight="1" x14ac:dyDescent="0.2">
      <c r="B15" s="66" t="s">
        <v>358</v>
      </c>
      <c r="C15" s="68">
        <f>Dev_CashFlow!C25</f>
        <v>-1351000</v>
      </c>
      <c r="D15" s="68">
        <f>Dev_CashFlow!D25</f>
        <v>-1572000</v>
      </c>
      <c r="E15" s="68">
        <f>Dev_CashFlow!E25</f>
        <v>-2352000</v>
      </c>
      <c r="F15" s="68">
        <f>Dev_CashFlow!F25</f>
        <v>-277200</v>
      </c>
    </row>
    <row r="17" spans="2:10" ht="15.75" customHeight="1" x14ac:dyDescent="0.2">
      <c r="B17" s="118" t="s">
        <v>359</v>
      </c>
      <c r="C17" s="118"/>
      <c r="D17" s="118"/>
      <c r="E17" s="118"/>
      <c r="F17" s="118"/>
      <c r="G17" s="118"/>
      <c r="H17" s="118"/>
      <c r="I17" s="118"/>
      <c r="J17" s="118"/>
    </row>
    <row r="18" spans="2:10" ht="15.75" customHeight="1" x14ac:dyDescent="0.2">
      <c r="B18" s="4" t="s">
        <v>222</v>
      </c>
      <c r="C18" s="4" t="s">
        <v>319</v>
      </c>
      <c r="D18" s="4" t="s">
        <v>320</v>
      </c>
      <c r="E18" s="4" t="s">
        <v>227</v>
      </c>
    </row>
    <row r="19" spans="2:10" ht="13.5" customHeight="1" x14ac:dyDescent="0.2">
      <c r="B19" s="69" t="s">
        <v>230</v>
      </c>
      <c r="C19" s="70">
        <f>Scenario_Analysis!E4</f>
        <v>3786000</v>
      </c>
      <c r="D19" s="71">
        <f>Scenario_Analysis!H4</f>
        <v>-5.1666666666666666E-2</v>
      </c>
      <c r="E19" s="67">
        <f>Scenario_Analysis!F4</f>
        <v>3600000</v>
      </c>
    </row>
    <row r="20" spans="2:10" ht="13.5" customHeight="1" x14ac:dyDescent="0.2">
      <c r="B20" s="72" t="s">
        <v>360</v>
      </c>
      <c r="C20" s="73">
        <f>Scenario_Analysis!E5</f>
        <v>4016000</v>
      </c>
      <c r="D20" s="74">
        <f>Scenario_Analysis!H5</f>
        <v>-0.11555555555555555</v>
      </c>
      <c r="E20" s="68">
        <f>Scenario_Analysis!F5</f>
        <v>3600000</v>
      </c>
    </row>
    <row r="21" spans="2:10" ht="13.5" customHeight="1" x14ac:dyDescent="0.2">
      <c r="B21" s="69" t="s">
        <v>361</v>
      </c>
      <c r="C21" s="70">
        <f>Scenario_Analysis!E6</f>
        <v>4246000</v>
      </c>
      <c r="D21" s="71">
        <f>Scenario_Analysis!H6</f>
        <v>-0.17944444444444443</v>
      </c>
      <c r="E21" s="67">
        <f>Scenario_Analysis!F6</f>
        <v>3600000</v>
      </c>
    </row>
    <row r="22" spans="2:10" ht="13.5" customHeight="1" x14ac:dyDescent="0.2">
      <c r="B22" s="72" t="s">
        <v>362</v>
      </c>
      <c r="C22" s="73">
        <f>Scenario_Analysis!E7</f>
        <v>3786000</v>
      </c>
      <c r="D22" s="74">
        <f>Scenario_Analysis!H7</f>
        <v>-0.16851851851851851</v>
      </c>
      <c r="E22" s="68">
        <f>Scenario_Analysis!F7</f>
        <v>3240000</v>
      </c>
    </row>
    <row r="23" spans="2:10" ht="13.5" customHeight="1" x14ac:dyDescent="0.2">
      <c r="B23" s="69" t="s">
        <v>363</v>
      </c>
      <c r="C23" s="70">
        <f>Scenario_Analysis!E8</f>
        <v>4016000</v>
      </c>
      <c r="D23" s="71">
        <f>Scenario_Analysis!H8</f>
        <v>-0.23950617283950618</v>
      </c>
      <c r="E23" s="67">
        <f>Scenario_Analysis!F8</f>
        <v>3240000</v>
      </c>
    </row>
    <row r="24" spans="2:10" ht="13.5" customHeight="1" x14ac:dyDescent="0.2">
      <c r="B24" s="72" t="s">
        <v>364</v>
      </c>
      <c r="C24" s="73">
        <f>Scenario_Analysis!E9</f>
        <v>3786000</v>
      </c>
      <c r="D24" s="74">
        <f>Scenario_Analysis!H9</f>
        <v>-5.1666666666666666E-2</v>
      </c>
      <c r="E24" s="68">
        <f>Scenario_Analysis!F9</f>
        <v>3600000</v>
      </c>
    </row>
  </sheetData>
  <mergeCells count="22">
    <mergeCell ref="B1:U1"/>
    <mergeCell ref="B3:D3"/>
    <mergeCell ref="E3:G3"/>
    <mergeCell ref="H3:J3"/>
    <mergeCell ref="K3:M3"/>
    <mergeCell ref="N3:P3"/>
    <mergeCell ref="Q3:S3"/>
    <mergeCell ref="B8:S8"/>
    <mergeCell ref="B10:U10"/>
    <mergeCell ref="B17:J17"/>
    <mergeCell ref="Q4:S5"/>
    <mergeCell ref="B6:D6"/>
    <mergeCell ref="E6:G6"/>
    <mergeCell ref="H6:J6"/>
    <mergeCell ref="K6:M6"/>
    <mergeCell ref="N6:P6"/>
    <mergeCell ref="Q6:S6"/>
    <mergeCell ref="B4:D5"/>
    <mergeCell ref="E4:G5"/>
    <mergeCell ref="H4:J5"/>
    <mergeCell ref="K4:M5"/>
    <mergeCell ref="N4:P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375623"/>
  </sheetPr>
  <dimension ref="B1:B25"/>
  <sheetViews>
    <sheetView showGridLines="0" tabSelected="1" zoomScaleNormal="100" workbookViewId="0">
      <selection activeCell="G13" sqref="G13"/>
    </sheetView>
  </sheetViews>
  <sheetFormatPr baseColWidth="10" defaultColWidth="8.6640625" defaultRowHeight="15" x14ac:dyDescent="0.2"/>
  <cols>
    <col min="1" max="1" width="3" customWidth="1"/>
    <col min="2" max="2" width="110" customWidth="1"/>
  </cols>
  <sheetData>
    <row r="1" spans="2:2" ht="37.5" customHeight="1" thickTop="1" thickBot="1" x14ac:dyDescent="0.25">
      <c r="B1" s="92" t="s">
        <v>365</v>
      </c>
    </row>
    <row r="2" spans="2:2" ht="17" thickTop="1" thickBot="1" x14ac:dyDescent="0.25"/>
    <row r="3" spans="2:2" ht="18" customHeight="1" thickTop="1" thickBot="1" x14ac:dyDescent="0.25">
      <c r="B3" s="93" t="s">
        <v>366</v>
      </c>
    </row>
    <row r="4" spans="2:2" ht="113" customHeight="1" thickTop="1" x14ac:dyDescent="0.2">
      <c r="B4" s="90" t="s">
        <v>367</v>
      </c>
    </row>
    <row r="5" spans="2:2" ht="16" thickBot="1" x14ac:dyDescent="0.25"/>
    <row r="6" spans="2:2" ht="18" customHeight="1" thickTop="1" thickBot="1" x14ac:dyDescent="0.25">
      <c r="B6" s="93" t="s">
        <v>368</v>
      </c>
    </row>
    <row r="7" spans="2:2" ht="107" customHeight="1" thickTop="1" x14ac:dyDescent="0.2">
      <c r="B7" s="90" t="s">
        <v>369</v>
      </c>
    </row>
    <row r="8" spans="2:2" ht="16" thickBot="1" x14ac:dyDescent="0.25"/>
    <row r="9" spans="2:2" ht="18" customHeight="1" thickTop="1" thickBot="1" x14ac:dyDescent="0.25">
      <c r="B9" s="93" t="s">
        <v>370</v>
      </c>
    </row>
    <row r="10" spans="2:2" ht="84" customHeight="1" thickTop="1" x14ac:dyDescent="0.2">
      <c r="B10" s="90" t="s">
        <v>371</v>
      </c>
    </row>
    <row r="11" spans="2:2" ht="16" thickBot="1" x14ac:dyDescent="0.25"/>
    <row r="12" spans="2:2" ht="18" customHeight="1" thickTop="1" thickBot="1" x14ac:dyDescent="0.25">
      <c r="B12" s="93" t="s">
        <v>372</v>
      </c>
    </row>
    <row r="13" spans="2:2" ht="170" customHeight="1" thickTop="1" x14ac:dyDescent="0.2">
      <c r="B13" s="90" t="s">
        <v>373</v>
      </c>
    </row>
    <row r="14" spans="2:2" ht="16" thickBot="1" x14ac:dyDescent="0.25"/>
    <row r="15" spans="2:2" ht="18" customHeight="1" thickTop="1" thickBot="1" x14ac:dyDescent="0.25">
      <c r="B15" s="91" t="s">
        <v>374</v>
      </c>
    </row>
    <row r="16" spans="2:2" ht="186" customHeight="1" thickTop="1" x14ac:dyDescent="0.2">
      <c r="B16" s="90" t="s">
        <v>375</v>
      </c>
    </row>
    <row r="17" spans="2:2" ht="16" thickBot="1" x14ac:dyDescent="0.25"/>
    <row r="18" spans="2:2" ht="18" customHeight="1" thickTop="1" thickBot="1" x14ac:dyDescent="0.25">
      <c r="B18" s="93" t="s">
        <v>376</v>
      </c>
    </row>
    <row r="19" spans="2:2" ht="146" customHeight="1" thickTop="1" x14ac:dyDescent="0.2">
      <c r="B19" s="90" t="s">
        <v>377</v>
      </c>
    </row>
    <row r="20" spans="2:2" ht="16" thickBot="1" x14ac:dyDescent="0.25"/>
    <row r="21" spans="2:2" ht="18" customHeight="1" thickTop="1" thickBot="1" x14ac:dyDescent="0.25">
      <c r="B21" s="91" t="s">
        <v>378</v>
      </c>
    </row>
    <row r="22" spans="2:2" ht="152" customHeight="1" thickTop="1" x14ac:dyDescent="0.2">
      <c r="B22" s="90" t="s">
        <v>382</v>
      </c>
    </row>
    <row r="24" spans="2:2" ht="18" customHeight="1" x14ac:dyDescent="0.2">
      <c r="B24" s="94"/>
    </row>
    <row r="25" spans="2:2" ht="233" customHeight="1" x14ac:dyDescent="0.2">
      <c r="B25" s="95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Assumptions</vt:lpstr>
      <vt:lpstr>Dev_CashFlow</vt:lpstr>
      <vt:lpstr>Feasibility_Metrics</vt:lpstr>
      <vt:lpstr>Scenario_Analysis</vt:lpstr>
      <vt:lpstr>Risk_Analysis</vt:lpstr>
      <vt:lpstr>Dashboard</vt:lpstr>
      <vt:lpstr>Strategic_Insights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gokul baskar</cp:lastModifiedBy>
  <cp:revision>2</cp:revision>
  <dcterms:created xsi:type="dcterms:W3CDTF">2026-03-23T04:25:56Z</dcterms:created>
  <dcterms:modified xsi:type="dcterms:W3CDTF">2026-03-23T13:30:59Z</dcterms:modified>
  <dc:language>en-US</dc:language>
</cp:coreProperties>
</file>