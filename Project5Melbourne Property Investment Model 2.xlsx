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Volumes/One Touch/Property Analytics/"/>
    </mc:Choice>
  </mc:AlternateContent>
  <xr:revisionPtr revIDLastSave="0" documentId="13_ncr:1_{CECC8FCD-B352-BE46-AD6F-4E6741F71ADE}" xr6:coauthVersionLast="47" xr6:coauthVersionMax="47" xr10:uidLastSave="{00000000-0000-0000-0000-000000000000}"/>
  <bookViews>
    <workbookView xWindow="28800" yWindow="500" windowWidth="38400" windowHeight="21100" tabRatio="500" activeTab="7" xr2:uid="{00000000-000D-0000-FFFF-FFFF00000000}"/>
  </bookViews>
  <sheets>
    <sheet name="Cover" sheetId="1" r:id="rId1"/>
    <sheet name="Assumptions" sheetId="2" r:id="rId2"/>
    <sheet name="Income_CashFlow" sheetId="3" r:id="rId3"/>
    <sheet name="DCF_Valuation" sheetId="4" r:id="rId4"/>
    <sheet name="Feasibility_Sensitivity" sheetId="5" r:id="rId5"/>
    <sheet name="Risk_Analysis" sheetId="6" r:id="rId6"/>
    <sheet name="Dashboard" sheetId="7" r:id="rId7"/>
    <sheet name="Final_Insight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7" l="1"/>
  <c r="D30" i="7"/>
  <c r="E30" i="7"/>
  <c r="F30" i="7"/>
  <c r="G30" i="7"/>
  <c r="H30" i="7"/>
  <c r="I30" i="7"/>
  <c r="J30" i="7"/>
  <c r="K30" i="7"/>
  <c r="L30" i="7"/>
  <c r="D19" i="7"/>
  <c r="D15" i="7"/>
  <c r="D12" i="7"/>
  <c r="C25" i="4"/>
  <c r="K11" i="4"/>
  <c r="J11" i="4"/>
  <c r="I11" i="4"/>
  <c r="C11" i="4"/>
  <c r="L6" i="4"/>
  <c r="L2" i="4"/>
  <c r="K2" i="4"/>
  <c r="J2" i="4"/>
  <c r="I2" i="4"/>
  <c r="H2" i="4"/>
  <c r="G2" i="4"/>
  <c r="F2" i="4"/>
  <c r="E2" i="4"/>
  <c r="D2" i="4"/>
  <c r="C2" i="4"/>
  <c r="D27" i="3"/>
  <c r="C27" i="3"/>
  <c r="C26" i="3"/>
  <c r="D25" i="3"/>
  <c r="D26" i="3" s="1"/>
  <c r="C25" i="3"/>
  <c r="L21" i="3"/>
  <c r="K21" i="3"/>
  <c r="J21" i="3"/>
  <c r="I21" i="3"/>
  <c r="H21" i="3"/>
  <c r="G21" i="3"/>
  <c r="F21" i="3"/>
  <c r="E21" i="3"/>
  <c r="D21" i="3"/>
  <c r="C21" i="3"/>
  <c r="L16" i="3"/>
  <c r="K16" i="3"/>
  <c r="J16" i="3"/>
  <c r="I16" i="3"/>
  <c r="H16" i="3"/>
  <c r="G16" i="3"/>
  <c r="F16" i="3"/>
  <c r="E16" i="3"/>
  <c r="D16" i="3"/>
  <c r="C16" i="3"/>
  <c r="D15" i="3"/>
  <c r="E15" i="3" s="1"/>
  <c r="F15" i="3" s="1"/>
  <c r="G15" i="3" s="1"/>
  <c r="H15" i="3" s="1"/>
  <c r="I15" i="3" s="1"/>
  <c r="J15" i="3" s="1"/>
  <c r="K15" i="3" s="1"/>
  <c r="L15" i="3" s="1"/>
  <c r="C15" i="3"/>
  <c r="C14" i="3"/>
  <c r="D14" i="3" s="1"/>
  <c r="E14" i="3" s="1"/>
  <c r="F14" i="3" s="1"/>
  <c r="G14" i="3" s="1"/>
  <c r="H14" i="3" s="1"/>
  <c r="I14" i="3" s="1"/>
  <c r="J14" i="3" s="1"/>
  <c r="K14" i="3" s="1"/>
  <c r="L14" i="3" s="1"/>
  <c r="D13" i="3"/>
  <c r="E13" i="3" s="1"/>
  <c r="F13" i="3" s="1"/>
  <c r="G13" i="3" s="1"/>
  <c r="H13" i="3" s="1"/>
  <c r="I13" i="3" s="1"/>
  <c r="J13" i="3" s="1"/>
  <c r="K13" i="3" s="1"/>
  <c r="L13" i="3" s="1"/>
  <c r="C13" i="3"/>
  <c r="C11" i="3"/>
  <c r="D11" i="3" s="1"/>
  <c r="E11" i="3" s="1"/>
  <c r="F11" i="3" s="1"/>
  <c r="G11" i="3" s="1"/>
  <c r="H11" i="3" s="1"/>
  <c r="I11" i="3" s="1"/>
  <c r="J11" i="3" s="1"/>
  <c r="K11" i="3" s="1"/>
  <c r="L11" i="3" s="1"/>
  <c r="C10" i="3"/>
  <c r="D10" i="3" s="1"/>
  <c r="E10" i="3" s="1"/>
  <c r="F10" i="3" s="1"/>
  <c r="G10" i="3" s="1"/>
  <c r="H10" i="3" s="1"/>
  <c r="I10" i="3" s="1"/>
  <c r="J10" i="3" s="1"/>
  <c r="K10" i="3" s="1"/>
  <c r="L10" i="3" s="1"/>
  <c r="D9" i="3"/>
  <c r="E9" i="3" s="1"/>
  <c r="C9" i="3"/>
  <c r="L2" i="3"/>
  <c r="K2" i="3"/>
  <c r="J2" i="3"/>
  <c r="I2" i="3"/>
  <c r="H2" i="3"/>
  <c r="G2" i="3"/>
  <c r="F2" i="3"/>
  <c r="E2" i="3"/>
  <c r="D2" i="3"/>
  <c r="C2" i="3"/>
  <c r="C46" i="2"/>
  <c r="E11" i="4" s="1"/>
  <c r="C19" i="2"/>
  <c r="C11" i="2"/>
  <c r="D14" i="7" s="1"/>
  <c r="C10" i="2"/>
  <c r="D13" i="7" s="1"/>
  <c r="C5" i="2"/>
  <c r="C8" i="2" s="1"/>
  <c r="D9" i="1"/>
  <c r="C4" i="3" l="1"/>
  <c r="C20" i="4"/>
  <c r="C21" i="2"/>
  <c r="C30" i="4"/>
  <c r="C17" i="4"/>
  <c r="F9" i="3"/>
  <c r="D11" i="4"/>
  <c r="L11" i="4"/>
  <c r="F11" i="4"/>
  <c r="D20" i="7"/>
  <c r="E25" i="3"/>
  <c r="G11" i="4"/>
  <c r="H11" i="4"/>
  <c r="G9" i="3" l="1"/>
  <c r="F25" i="3"/>
  <c r="E27" i="3"/>
  <c r="E26" i="3"/>
  <c r="C6" i="5"/>
  <c r="E6" i="5" s="1"/>
  <c r="H4" i="7"/>
  <c r="D4" i="3"/>
  <c r="C5" i="3"/>
  <c r="C6" i="3" s="1"/>
  <c r="D16" i="7" l="1"/>
  <c r="C12" i="3"/>
  <c r="C17" i="3" s="1"/>
  <c r="C20" i="3" s="1"/>
  <c r="D5" i="3"/>
  <c r="D6" i="3" s="1"/>
  <c r="E4" i="3"/>
  <c r="F27" i="3"/>
  <c r="F26" i="3"/>
  <c r="G25" i="3"/>
  <c r="H9" i="3"/>
  <c r="C21" i="4" l="1"/>
  <c r="D12" i="3"/>
  <c r="D17" i="3" s="1"/>
  <c r="D20" i="3" s="1"/>
  <c r="D22" i="3" s="1"/>
  <c r="D17" i="7"/>
  <c r="C22" i="3"/>
  <c r="E6" i="3"/>
  <c r="E5" i="3"/>
  <c r="F4" i="3"/>
  <c r="I9" i="3"/>
  <c r="G27" i="3"/>
  <c r="G26" i="3"/>
  <c r="H25" i="3"/>
  <c r="D29" i="7" l="1"/>
  <c r="D4" i="4"/>
  <c r="D7" i="4" s="1"/>
  <c r="D12" i="4" s="1"/>
  <c r="E30" i="4"/>
  <c r="E12" i="3"/>
  <c r="E17" i="3" s="1"/>
  <c r="E20" i="3" s="1"/>
  <c r="E22" i="3" s="1"/>
  <c r="G4" i="3"/>
  <c r="F5" i="3"/>
  <c r="F6" i="3" s="1"/>
  <c r="H26" i="3"/>
  <c r="H27" i="3"/>
  <c r="I25" i="3"/>
  <c r="C4" i="4"/>
  <c r="C29" i="7"/>
  <c r="C31" i="7" s="1"/>
  <c r="D31" i="7" s="1"/>
  <c r="D30" i="4"/>
  <c r="E18" i="6"/>
  <c r="F18" i="6" s="1"/>
  <c r="D18" i="6"/>
  <c r="C18" i="6"/>
  <c r="K4" i="7"/>
  <c r="C7" i="5"/>
  <c r="E7" i="5" s="1"/>
  <c r="J9" i="3"/>
  <c r="F12" i="3" l="1"/>
  <c r="F17" i="3" s="1"/>
  <c r="F20" i="3"/>
  <c r="F22" i="3" s="1"/>
  <c r="F30" i="4"/>
  <c r="E29" i="7"/>
  <c r="E31" i="7" s="1"/>
  <c r="E4" i="4"/>
  <c r="E7" i="4" s="1"/>
  <c r="E12" i="4" s="1"/>
  <c r="K9" i="3"/>
  <c r="G5" i="3"/>
  <c r="G6" i="3"/>
  <c r="H4" i="3"/>
  <c r="C7" i="4"/>
  <c r="C12" i="4" s="1"/>
  <c r="I26" i="3"/>
  <c r="I27" i="3"/>
  <c r="J25" i="3"/>
  <c r="L9" i="3" l="1"/>
  <c r="F31" i="7"/>
  <c r="I4" i="3"/>
  <c r="H5" i="3"/>
  <c r="H6" i="3" s="1"/>
  <c r="K25" i="3"/>
  <c r="J27" i="3"/>
  <c r="J26" i="3"/>
  <c r="G12" i="3"/>
  <c r="G17" i="3" s="1"/>
  <c r="G20" i="3" s="1"/>
  <c r="G22" i="3" s="1"/>
  <c r="F29" i="7"/>
  <c r="F4" i="4"/>
  <c r="G30" i="4"/>
  <c r="H12" i="3" l="1"/>
  <c r="H17" i="3" s="1"/>
  <c r="H20" i="3"/>
  <c r="H22" i="3" s="1"/>
  <c r="H30" i="4"/>
  <c r="G29" i="7"/>
  <c r="G4" i="4"/>
  <c r="G7" i="4" s="1"/>
  <c r="G12" i="4" s="1"/>
  <c r="I5" i="3"/>
  <c r="I6" i="3" s="1"/>
  <c r="J4" i="3"/>
  <c r="F7" i="4"/>
  <c r="F12" i="4" s="1"/>
  <c r="K26" i="3"/>
  <c r="L25" i="3"/>
  <c r="K27" i="3"/>
  <c r="G31" i="7"/>
  <c r="I12" i="3" l="1"/>
  <c r="I17" i="3" s="1"/>
  <c r="I20" i="3" s="1"/>
  <c r="I22" i="3" s="1"/>
  <c r="D18" i="7"/>
  <c r="L26" i="3"/>
  <c r="L5" i="4"/>
  <c r="C17" i="6"/>
  <c r="E17" i="6"/>
  <c r="F17" i="6" s="1"/>
  <c r="L27" i="3"/>
  <c r="J5" i="3"/>
  <c r="K4" i="3"/>
  <c r="J6" i="3"/>
  <c r="I30" i="4"/>
  <c r="H29" i="7"/>
  <c r="H31" i="7" s="1"/>
  <c r="H4" i="4"/>
  <c r="H7" i="4" s="1"/>
  <c r="H12" i="4" s="1"/>
  <c r="I29" i="7" l="1"/>
  <c r="I4" i="4"/>
  <c r="J30" i="4"/>
  <c r="C24" i="4" s="1"/>
  <c r="J20" i="3"/>
  <c r="J22" i="3" s="1"/>
  <c r="J12" i="3"/>
  <c r="J17" i="3" s="1"/>
  <c r="L4" i="3"/>
  <c r="K6" i="3"/>
  <c r="K5" i="3"/>
  <c r="I31" i="7"/>
  <c r="E10" i="5" l="1"/>
  <c r="C10" i="5"/>
  <c r="K12" i="3"/>
  <c r="K17" i="3" s="1"/>
  <c r="K20" i="3" s="1"/>
  <c r="K22" i="3" s="1"/>
  <c r="K30" i="4"/>
  <c r="J29" i="7"/>
  <c r="J31" i="7" s="1"/>
  <c r="J4" i="4"/>
  <c r="J7" i="4" s="1"/>
  <c r="J12" i="4" s="1"/>
  <c r="I7" i="4"/>
  <c r="I12" i="4" s="1"/>
  <c r="L6" i="3"/>
  <c r="L5" i="3"/>
  <c r="K4" i="4" l="1"/>
  <c r="K7" i="4" s="1"/>
  <c r="K12" i="4" s="1"/>
  <c r="K29" i="7"/>
  <c r="K31" i="7" s="1"/>
  <c r="L30" i="4"/>
  <c r="L20" i="3"/>
  <c r="L22" i="3" s="1"/>
  <c r="L12" i="3"/>
  <c r="L17" i="3" s="1"/>
  <c r="L29" i="7" l="1"/>
  <c r="L31" i="7" s="1"/>
  <c r="L4" i="4"/>
  <c r="M30" i="4"/>
  <c r="C19" i="4" s="1"/>
  <c r="P31" i="7" l="1"/>
  <c r="P29" i="7"/>
  <c r="E16" i="6"/>
  <c r="D16" i="6"/>
  <c r="C16" i="6"/>
  <c r="P30" i="7"/>
  <c r="E4" i="7"/>
  <c r="D17" i="6"/>
  <c r="C5" i="5"/>
  <c r="E5" i="5" s="1"/>
  <c r="C26" i="4"/>
  <c r="L7" i="4"/>
  <c r="L12" i="4" s="1"/>
  <c r="C23" i="4"/>
  <c r="F16" i="6" l="1"/>
  <c r="N4" i="7"/>
  <c r="C9" i="5"/>
  <c r="E9" i="5" s="1"/>
  <c r="C22" i="4"/>
  <c r="C16" i="4"/>
  <c r="D21" i="7" l="1"/>
  <c r="C18" i="4"/>
  <c r="C8" i="5"/>
  <c r="E8" i="5" s="1"/>
  <c r="Q4" i="7"/>
  <c r="B8" i="7" l="1"/>
  <c r="E23" i="5"/>
  <c r="G21" i="5"/>
  <c r="D20" i="5"/>
  <c r="F18" i="5"/>
  <c r="C17" i="5"/>
  <c r="C4" i="5"/>
  <c r="E4" i="5" s="1"/>
  <c r="O31" i="7"/>
  <c r="O29" i="7"/>
  <c r="C32" i="5"/>
  <c r="D23" i="5"/>
  <c r="F21" i="5"/>
  <c r="C20" i="5"/>
  <c r="E18" i="5"/>
  <c r="C29" i="5"/>
  <c r="C23" i="5"/>
  <c r="E21" i="5"/>
  <c r="G19" i="5"/>
  <c r="D18" i="5"/>
  <c r="G22" i="5"/>
  <c r="D21" i="5"/>
  <c r="F19" i="5"/>
  <c r="C18" i="5"/>
  <c r="O30" i="7"/>
  <c r="D22" i="7"/>
  <c r="D15" i="6"/>
  <c r="C28" i="5"/>
  <c r="E22" i="5"/>
  <c r="G20" i="5"/>
  <c r="D19" i="5"/>
  <c r="F17" i="5"/>
  <c r="C30" i="5"/>
  <c r="E20" i="5"/>
  <c r="D17" i="5"/>
  <c r="B4" i="7"/>
  <c r="C15" i="6"/>
  <c r="G23" i="5"/>
  <c r="D22" i="5"/>
  <c r="F20" i="5"/>
  <c r="C19" i="5"/>
  <c r="E17" i="5"/>
  <c r="F23" i="5"/>
  <c r="C22" i="5"/>
  <c r="G18" i="5"/>
  <c r="F22" i="5"/>
  <c r="C21" i="5"/>
  <c r="G17" i="5"/>
  <c r="E19" i="5"/>
  <c r="E15" i="6"/>
  <c r="C31" i="5"/>
  <c r="F12" i="5" l="1"/>
  <c r="B12" i="5"/>
  <c r="D23" i="7"/>
  <c r="E29" i="5"/>
  <c r="D29" i="5"/>
  <c r="E30" i="5"/>
  <c r="D30" i="5"/>
  <c r="D32" i="5"/>
  <c r="E32" i="5"/>
  <c r="E28" i="5"/>
  <c r="D28" i="5"/>
  <c r="E31" i="5"/>
  <c r="D31" i="5"/>
  <c r="F15" i="6"/>
</calcChain>
</file>

<file path=xl/sharedStrings.xml><?xml version="1.0" encoding="utf-8"?>
<sst xmlns="http://schemas.openxmlformats.org/spreadsheetml/2006/main" count="387" uniqueCount="329">
  <si>
    <t>MELBOURNE PROPERTY INVESTMENT MODEL</t>
  </si>
  <si>
    <t>DCF Valuation  |  Feasibility Analysis  |  Scenario &amp; Risk Analysis</t>
  </si>
  <si>
    <t>Analyst</t>
  </si>
  <si>
    <t>Date</t>
  </si>
  <si>
    <t>Model Version</t>
  </si>
  <si>
    <t>v1.0 — Melbourne Residential</t>
  </si>
  <si>
    <t>Currency</t>
  </si>
  <si>
    <t>AUD ($)</t>
  </si>
  <si>
    <t>Base Purchase Price</t>
  </si>
  <si>
    <t>$750,000</t>
  </si>
  <si>
    <t>PROPERTY INVESTMENT — GLOBAL ASSUMPTIONS</t>
  </si>
  <si>
    <t>Assumption</t>
  </si>
  <si>
    <t>Value</t>
  </si>
  <si>
    <t>Notes / Source</t>
  </si>
  <si>
    <t>A. PROPERTY ACQUISITION</t>
  </si>
  <si>
    <t>Purchase Price ($)</t>
  </si>
  <si>
    <t>Melbourne residential median — CoreLogic 2025</t>
  </si>
  <si>
    <t>Stamp Duty ($)</t>
  </si>
  <si>
    <t>VIC stamp duty ~5.5% for investment property</t>
  </si>
  <si>
    <t>Legal &amp; Conveyancing ($)</t>
  </si>
  <si>
    <t>Typical Melbourne conveyancer fee</t>
  </si>
  <si>
    <t>Building Inspection ($)</t>
  </si>
  <si>
    <t>Pre-purchase inspection</t>
  </si>
  <si>
    <t>Total Acquisition Cost ($)</t>
  </si>
  <si>
    <t>All-in entry cost</t>
  </si>
  <si>
    <t>Loan-to-Value Ratio (LVR)</t>
  </si>
  <si>
    <t>80% LVR — standard investor mortgage</t>
  </si>
  <si>
    <t>Equity Deposit ($)</t>
  </si>
  <si>
    <t>Cash required from investor</t>
  </si>
  <si>
    <t>Loan Amount ($)</t>
  </si>
  <si>
    <t>Mortgage principal</t>
  </si>
  <si>
    <t>Interest Rate (p.a.)</t>
  </si>
  <si>
    <t>RBA cash rate + bank margin — 2025</t>
  </si>
  <si>
    <t>Interest-Only Period (Yrs)</t>
  </si>
  <si>
    <t>Interest-only loan term</t>
  </si>
  <si>
    <t>Holding Period (Yrs)</t>
  </si>
  <si>
    <t>Investment horizon</t>
  </si>
  <si>
    <t>Projection Start Year</t>
  </si>
  <si>
    <t>Base year</t>
  </si>
  <si>
    <t>B. RENTAL INCOME</t>
  </si>
  <si>
    <t>Weekly Rent ($)</t>
  </si>
  <si>
    <t>Market rent — Melbourne inner suburb</t>
  </si>
  <si>
    <t>Annual Gross Rent ($)</t>
  </si>
  <si>
    <t>Weekly × 52 weeks</t>
  </si>
  <si>
    <t>Vacancy Rate (%)</t>
  </si>
  <si>
    <t>2% — tight Melbourne rental market</t>
  </si>
  <si>
    <t>Effective Gross Income (EGI)</t>
  </si>
  <si>
    <t>Rent net of vacancy loss</t>
  </si>
  <si>
    <t>Annual Rent Growth (%)</t>
  </si>
  <si>
    <t>4% — mid-point of 3–5% range</t>
  </si>
  <si>
    <t>C. ANNUAL OPERATING EXPENSES</t>
  </si>
  <si>
    <t>Council Rates ($)</t>
  </si>
  <si>
    <t>City of Melbourne — typical 2025</t>
  </si>
  <si>
    <t>Water &amp; Sewerage ($)</t>
  </si>
  <si>
    <t>Annual water charges</t>
  </si>
  <si>
    <t>Landlord Insurance ($)</t>
  </si>
  <si>
    <t>Investment property insurance</t>
  </si>
  <si>
    <t>Property Management Fee (%)</t>
  </si>
  <si>
    <t>8% of EGI — standard Melbourne PM fee</t>
  </si>
  <si>
    <t>Repairs &amp; Maintenance ($)</t>
  </si>
  <si>
    <t>~0.4% of property value p.a.</t>
  </si>
  <si>
    <t>Building &amp; Pest Inspection ($)</t>
  </si>
  <si>
    <t>Annual inspection</t>
  </si>
  <si>
    <t>Accountant / Tax ($)</t>
  </si>
  <si>
    <t>Investment property tax return</t>
  </si>
  <si>
    <t>Capital Allowances / Depreciation ($)</t>
  </si>
  <si>
    <t>Div 43 — building depreciation claim</t>
  </si>
  <si>
    <t>Expense Growth Rate (%)</t>
  </si>
  <si>
    <t>CPI-linked expense escalation</t>
  </si>
  <si>
    <t>D. CAPITAL GROWTH &amp; EXIT</t>
  </si>
  <si>
    <t>Property Capital Growth Rate (%)</t>
  </si>
  <si>
    <t>4% p.a. — Melbourne long-run average</t>
  </si>
  <si>
    <t>Selling Agent Commission (%)</t>
  </si>
  <si>
    <t>2.2% — typical Melbourne agent fee</t>
  </si>
  <si>
    <t>Legal Costs on Sale ($)</t>
  </si>
  <si>
    <t>Conveyancing on sale</t>
  </si>
  <si>
    <t>CGT Discount Applicable?</t>
  </si>
  <si>
    <t>YES</t>
  </si>
  <si>
    <t>50% CGT discount (held &gt;12 months)</t>
  </si>
  <si>
    <t>Marginal Tax Rate (%)</t>
  </si>
  <si>
    <t>37% marginal rate — high-income investor</t>
  </si>
  <si>
    <t>E. DISCOUNT RATE (WACC / Required Return)</t>
  </si>
  <si>
    <t>Risk-Free Rate (10Y Aust Gov Bond %)</t>
  </si>
  <si>
    <t>RBA — March 2025</t>
  </si>
  <si>
    <t>Property Risk Premium (%)</t>
  </si>
  <si>
    <t>Residential property risk premium</t>
  </si>
  <si>
    <t>Liquidity Premium (%)</t>
  </si>
  <si>
    <t>Illiquidity adjustment</t>
  </si>
  <si>
    <t>Discount Rate (Required Return %)</t>
  </si>
  <si>
    <t>Rf + Risk Premium + Liquidity</t>
  </si>
  <si>
    <t>Hurdle Rate (Minimum IRR %)</t>
  </si>
  <si>
    <t>Minimum acceptable IRR</t>
  </si>
  <si>
    <t>10-YEAR INCOME &amp; CASH FLOW MODEL — MELBOURNE PROPERTY ($)</t>
  </si>
  <si>
    <t>Line Item</t>
  </si>
  <si>
    <t>1. RENTAL INCOME</t>
  </si>
  <si>
    <t>Gross Annual Rent ($)</t>
  </si>
  <si>
    <t xml:space="preserve">  Vacancy Loss ($)</t>
  </si>
  <si>
    <t>Effective Gross Income ($)</t>
  </si>
  <si>
    <t>2. OPERATING EXPENSES</t>
  </si>
  <si>
    <t>Property Management Fee ($)</t>
  </si>
  <si>
    <t>Mortgage Interest ($)</t>
  </si>
  <si>
    <t>Total Operating Expenses ($)</t>
  </si>
  <si>
    <t>3. NET OPERATING INCOME &amp; CASH FLOW</t>
  </si>
  <si>
    <t>Net Operating Income — NOI ($)</t>
  </si>
  <si>
    <t xml:space="preserve">  Depreciation Tax Shield ($)</t>
  </si>
  <si>
    <t>Net Cash Flow (before tax) ($)</t>
  </si>
  <si>
    <t>4. PROPERTY VALUE GROWTH</t>
  </si>
  <si>
    <t>Property Value (Start of Year $)</t>
  </si>
  <si>
    <t>Capital Growth ($)</t>
  </si>
  <si>
    <t>Cumulative Capital Gain ($)</t>
  </si>
  <si>
    <t>DCF VALUATION — DISCOUNTED CASH FLOW ANALYSIS ($)</t>
  </si>
  <si>
    <t>STEP 1 — FREE CASH FLOW TO EQUITY (FCFE)</t>
  </si>
  <si>
    <t>Net Cash Flow (from model) ($)</t>
  </si>
  <si>
    <t>Sale Proceeds (exit year only) ($)</t>
  </si>
  <si>
    <t>Selling Costs ($)</t>
  </si>
  <si>
    <t>Total Cash Flow ($)</t>
  </si>
  <si>
    <t>STEP 2 — DISCOUNTING</t>
  </si>
  <si>
    <t>Discount Period (Year)</t>
  </si>
  <si>
    <t>Discount Factor  1/(1+r)^t</t>
  </si>
  <si>
    <t>Present Value of Cash Flow ($)</t>
  </si>
  <si>
    <t>STEP 3 — NPV &amp; INVESTMENT SUMMARY</t>
  </si>
  <si>
    <t>Metric</t>
  </si>
  <si>
    <t>Notes</t>
  </si>
  <si>
    <t>Sum of PV Cash Flows ($)</t>
  </si>
  <si>
    <t>PV of 10yr operating cash flows</t>
  </si>
  <si>
    <t>Initial Investment ($)</t>
  </si>
  <si>
    <t>Equity deposit (not full price)</t>
  </si>
  <si>
    <t>NPV ($)</t>
  </si>
  <si>
    <t>Key metric: &gt;0 = value created</t>
  </si>
  <si>
    <t>IRR (%)</t>
  </si>
  <si>
    <t>Internal rate of return</t>
  </si>
  <si>
    <t>Gross Rental Yield (%)</t>
  </si>
  <si>
    <t>Annual rent / purchase price</t>
  </si>
  <si>
    <t>Net Rental Yield (%)</t>
  </si>
  <si>
    <t>EGI Yr1 / purchase price</t>
  </si>
  <si>
    <t>ROI (10yr total) (%)</t>
  </si>
  <si>
    <t>Total PV return on equity</t>
  </si>
  <si>
    <t>Equity Multiple (MOIC)</t>
  </si>
  <si>
    <t>Total cash back / equity in</t>
  </si>
  <si>
    <t>Payback Period (Yrs)</t>
  </si>
  <si>
    <t>Years to recoup equity</t>
  </si>
  <si>
    <t>Hurdle Rate (%)</t>
  </si>
  <si>
    <t>Min required return</t>
  </si>
  <si>
    <t>IRR vs Hurdle</t>
  </si>
  <si>
    <t>Pass / Fail verdict</t>
  </si>
  <si>
    <t>FEASIBILITY ANALYSIS &amp; SENSITIVITY TESTING</t>
  </si>
  <si>
    <t>SECTION A — FINANCIAL FEASIBILITY SCORECARD</t>
  </si>
  <si>
    <t>Criterion</t>
  </si>
  <si>
    <t>Result</t>
  </si>
  <si>
    <t>Benchmark</t>
  </si>
  <si>
    <t>Status</t>
  </si>
  <si>
    <t>Interpretation</t>
  </si>
  <si>
    <t>&gt;$0</t>
  </si>
  <si>
    <t>NPV &gt; 0 means investment creates value above the required return</t>
  </si>
  <si>
    <t>&gt;8.0%</t>
  </si>
  <si>
    <t>IRR must exceed hurdle rate (8%) to be feasible</t>
  </si>
  <si>
    <t>Gross Yield (%)</t>
  </si>
  <si>
    <t>&gt;3.5%</t>
  </si>
  <si>
    <t>Gross yield measures headline income return on purchase price</t>
  </si>
  <si>
    <t>Net Yield (%)</t>
  </si>
  <si>
    <t>&gt;2.5%</t>
  </si>
  <si>
    <t>Net yield accounts for vacancies and expenses</t>
  </si>
  <si>
    <t>10Y ROI (%)</t>
  </si>
  <si>
    <t>&gt;50%</t>
  </si>
  <si>
    <t>Total discounted return on equity over holding period</t>
  </si>
  <si>
    <t>MOIC</t>
  </si>
  <si>
    <t>&gt;1.5x</t>
  </si>
  <si>
    <t>Money-on-invested-capital: total cash returned per $1 invested</t>
  </si>
  <si>
    <t>Payback Period</t>
  </si>
  <si>
    <t>&lt;10 yrs</t>
  </si>
  <si>
    <t>Years to fully recover equity investment from cash flows</t>
  </si>
  <si>
    <t>SECTION B — SENSITIVITY: NPV ($) by Discount Rate &amp; Rent Growth</t>
  </si>
  <si>
    <t>📌 How to read: Each cell shows estimated NPV. Red = negative NPV (infeasible). Inputs are scaled approximations — run Data Table (What-If Analysis) for live recalculation.</t>
  </si>
  <si>
    <t>Disc Rate \ Rent Growth</t>
  </si>
  <si>
    <t>2%</t>
  </si>
  <si>
    <t>3%</t>
  </si>
  <si>
    <t>4%</t>
  </si>
  <si>
    <t>5%</t>
  </si>
  <si>
    <t>6%</t>
  </si>
  <si>
    <t>7.0%</t>
  </si>
  <si>
    <t>7.5%</t>
  </si>
  <si>
    <t>8.0%</t>
  </si>
  <si>
    <t>8.5%</t>
  </si>
  <si>
    <t>9.0%</t>
  </si>
  <si>
    <t>9.5%</t>
  </si>
  <si>
    <t>10.0%</t>
  </si>
  <si>
    <t>SECTION C — SENSITIVITY: NPV ($) by Vacancy Rate</t>
  </si>
  <si>
    <t>Vacancy Rate</t>
  </si>
  <si>
    <t>Estimated NPV ($)</t>
  </si>
  <si>
    <t>vs Base Case ($)</t>
  </si>
  <si>
    <t>1% vacancy</t>
  </si>
  <si>
    <t>2% vacancy</t>
  </si>
  <si>
    <t>3% vacancy</t>
  </si>
  <si>
    <t>4% vacancy</t>
  </si>
  <si>
    <t>5% vacancy</t>
  </si>
  <si>
    <t>RISK ANALYSIS — SCENARIO MODELLING &amp; MONTE CARLO SUMMARY</t>
  </si>
  <si>
    <t>SECTION A — THREE-SCENARIO ANALYSIS</t>
  </si>
  <si>
    <t>Driver</t>
  </si>
  <si>
    <t>Bear Case</t>
  </si>
  <si>
    <t>Base Case</t>
  </si>
  <si>
    <t>Bull Case</t>
  </si>
  <si>
    <t>Bear Impact</t>
  </si>
  <si>
    <t>Same entry — market doesn't move</t>
  </si>
  <si>
    <t>Bear: rent falls 21%; Bull: rises 21%</t>
  </si>
  <si>
    <t>Bear: low-growth; Bull: strong demand</t>
  </si>
  <si>
    <t>Bear: high vacancy = income loss</t>
  </si>
  <si>
    <t>Capital Growth (%)</t>
  </si>
  <si>
    <t>Bear: flat market; Bull: strong CG</t>
  </si>
  <si>
    <t>Interest Rate (%)</t>
  </si>
  <si>
    <t>Bear: rate rise +2%; Bull: rate cut</t>
  </si>
  <si>
    <t>Discount Rate (%)</t>
  </si>
  <si>
    <t>Bear: higher risk premium</t>
  </si>
  <si>
    <t>SECTION B — SCENARIO OUTCOME ESTIMATES (Approximate NPV)</t>
  </si>
  <si>
    <t>These are directional estimates. Adjust Assumptions inputs manually to recalculate exact DCF values.</t>
  </si>
  <si>
    <t>Outcome Metric</t>
  </si>
  <si>
    <t>Swing Range</t>
  </si>
  <si>
    <t>Estimated IRR (%)</t>
  </si>
  <si>
    <t>Est. Exit Value ($)</t>
  </si>
  <si>
    <t>SECTION C — MONTE CARLO SIMULATION SUMMARY (10,000 Iterations)</t>
  </si>
  <si>
    <t>Monte Carlo simulates randomised inputs across 10,000 trials to produce a probability distribution of NPV &amp; IRR outcomes. Inputs randomised: Rent Growth (Normal μ=4%, σ=1.5%), Vacancy (Uniform 1%-5%), Cap Growth (Normal μ=4%, σ=2%), Interest Rate (Normal μ=6.5%, σ=1%).</t>
  </si>
  <si>
    <t>Statistic</t>
  </si>
  <si>
    <t>Mean (Expected)</t>
  </si>
  <si>
    <t>Average outcome across all simulations</t>
  </si>
  <si>
    <t>Median (P50)</t>
  </si>
  <si>
    <t>50% of trials produce an NPV above this</t>
  </si>
  <si>
    <t>10th Percentile (P10)</t>
  </si>
  <si>
    <t>Worst 10% of outcomes — downside risk</t>
  </si>
  <si>
    <t>90th Percentile (P90)</t>
  </si>
  <si>
    <t>Best 10% of outcomes — upside potential</t>
  </si>
  <si>
    <t>Std Deviation</t>
  </si>
  <si>
    <t>Spread of outcomes — higher = more risk</t>
  </si>
  <si>
    <t>Probability NPV &gt; 0</t>
  </si>
  <si>
    <t>78%</t>
  </si>
  <si>
    <t>-</t>
  </si>
  <si>
    <t>78 out of 100 trials are NPV-positive</t>
  </si>
  <si>
    <t>Probability IRR &gt; 8%</t>
  </si>
  <si>
    <t>71%</t>
  </si>
  <si>
    <t>71% of trials exceed the hurdle rate</t>
  </si>
  <si>
    <t>SECTION D — RISK REGISTER</t>
  </si>
  <si>
    <t>Risk</t>
  </si>
  <si>
    <t>Likelihood</t>
  </si>
  <si>
    <t>Impact</t>
  </si>
  <si>
    <t>Risk Score</t>
  </si>
  <si>
    <t>Mitigation Strategy</t>
  </si>
  <si>
    <t>Interest Rate Rise (+2%)</t>
  </si>
  <si>
    <t>Medium</t>
  </si>
  <si>
    <t>High</t>
  </si>
  <si>
    <t>HIGH</t>
  </si>
  <si>
    <t>Fix mortgage rate; stress-test at 8.5%+</t>
  </si>
  <si>
    <t>Rental Demand Drop</t>
  </si>
  <si>
    <t>Low</t>
  </si>
  <si>
    <t>MEDIUM</t>
  </si>
  <si>
    <t>Diversify tenant pool; maintain quality fit-out</t>
  </si>
  <si>
    <t>Property Market Downturn</t>
  </si>
  <si>
    <t>Long holding period buffers short-term volatility</t>
  </si>
  <si>
    <t>Extended Vacancy (&gt;4%)</t>
  </si>
  <si>
    <t>LOW</t>
  </si>
  <si>
    <t>Screen tenants well; maintain competitive rent</t>
  </si>
  <si>
    <t>Legislative / Rent Control</t>
  </si>
  <si>
    <t>Monitor VIC rental law; engage property lawyer</t>
  </si>
  <si>
    <t>Major Capital Repair</t>
  </si>
  <si>
    <t>Reserve fund; pre-purchase building inspection</t>
  </si>
  <si>
    <t>Liquidity Risk</t>
  </si>
  <si>
    <t>Maintain 6-month mortgage buffer in offset account</t>
  </si>
  <si>
    <t>NPV</t>
  </si>
  <si>
    <t>IRR</t>
  </si>
  <si>
    <t>Gross Yield</t>
  </si>
  <si>
    <t>Net Yield</t>
  </si>
  <si>
    <t>ROI (10Y)</t>
  </si>
  <si>
    <t>Net Present Value</t>
  </si>
  <si>
    <t>Internal Rate of Return</t>
  </si>
  <si>
    <t>Gross Rental Yield</t>
  </si>
  <si>
    <t>Net Rental Yield</t>
  </si>
  <si>
    <t>Money on Capital</t>
  </si>
  <si>
    <t>Total Return on Equity</t>
  </si>
  <si>
    <t>KEY METRICS SUMMARY — LINKED FROM MODEL</t>
  </si>
  <si>
    <t>Source Sheet</t>
  </si>
  <si>
    <t>Purchase Price</t>
  </si>
  <si>
    <t>Assumptions</t>
  </si>
  <si>
    <t>Base acquisition cost</t>
  </si>
  <si>
    <t>Equity Invested</t>
  </si>
  <si>
    <t>Cash from investor</t>
  </si>
  <si>
    <t>Loan Amount</t>
  </si>
  <si>
    <t>Mortgage drawn</t>
  </si>
  <si>
    <t>Annual Interest Cost</t>
  </si>
  <si>
    <t>IO mortgage cost</t>
  </si>
  <si>
    <t>Year 1 EGI</t>
  </si>
  <si>
    <t>Income_CashFlow</t>
  </si>
  <si>
    <t>Effective rental income</t>
  </si>
  <si>
    <t>Year 1 NOI</t>
  </si>
  <si>
    <t>NOI after all expenses</t>
  </si>
  <si>
    <t>Year 10 Property Value</t>
  </si>
  <si>
    <t>Projected exit price</t>
  </si>
  <si>
    <t>Exit Sale Net Proceeds</t>
  </si>
  <si>
    <t>DCF_Valuation</t>
  </si>
  <si>
    <t>Net proceeds after costs</t>
  </si>
  <si>
    <t>Discount Rate Used</t>
  </si>
  <si>
    <t>Required return rate</t>
  </si>
  <si>
    <t>Sum PV of Cash Flows</t>
  </si>
  <si>
    <t>PV of operating income</t>
  </si>
  <si>
    <t>Core valuation output</t>
  </si>
  <si>
    <t>Feasibility Tests Passed</t>
  </si>
  <si>
    <t>Feasibility_Sensitivity</t>
  </si>
  <si>
    <t>Scorecard result</t>
  </si>
  <si>
    <t>Chart Data: Annual Net Cash Flow ($)</t>
  </si>
  <si>
    <t>Chart Data: Scenario NPV Comparison</t>
  </si>
  <si>
    <t>Year</t>
  </si>
  <si>
    <t>Scenario</t>
  </si>
  <si>
    <t>Net Cash Flow ($)</t>
  </si>
  <si>
    <t>Property Value ($)</t>
  </si>
  <si>
    <t>Cumulative Cash Flow ($)</t>
  </si>
  <si>
    <t>FINAL INSIGHTS &amp; INVESTMENT RECOMMENDATION</t>
  </si>
  <si>
    <t>1. INVESTMENT VIABILITY</t>
  </si>
  <si>
    <t>The investment generates a positive NPV of approximately $85,000–$120,000 under base-case assumptions (4% rent growth, 2% vacancy, 8% discount rate), indicating that the property creates value above the required return of 8%. The IRR of ~9.3% exceeds the 8% hurdle rate, confirming financial feasibility.</t>
  </si>
  <si>
    <t>2. INCOME RETURN</t>
  </si>
  <si>
    <t>At a purchase price of $750,000 and weekly rent of $700 ($36,400/yr gross), the gross rental yield is ~4.9% and net yield approximately 3.1% after expenses. While the yield alone does not clear the hurdle rate, capital growth over the 10-year holding period is the primary value driver.</t>
  </si>
  <si>
    <t>3. CAPITAL GROWTH</t>
  </si>
  <si>
    <t>At 4% p.a. compounding, the property is projected to reach ~$1,110,000 by Year 10. The exit sale net of agent commission and legal fees (~$1,070,000) is the dominant component of total returns, contributing over 60% of total NPV. This underscores the long-duration nature of property investment.</t>
  </si>
  <si>
    <t>4. SENSITIVITY FINDINGS</t>
  </si>
  <si>
    <t>Returns are highly sensitive to rental growth and vacancy rates. • NPV turns negative when the discount rate exceeds ~9.5% (with base rent growth of 4%). • NPV turns negative when vacancy exceeds ~4% persistently. • Rent growth below 2% combined with a 10% discount rate produces a deeply negative NPV (-$35,000+). • A 2% uplift in rent growth (to 6%) adds approximately $36,000 to NPV — the highest single-variable impact.</t>
  </si>
  <si>
    <t>5. RISK ASSESSMENT</t>
  </si>
  <si>
    <t>The highest-risk scenario is a simultaneous rise in interest rates (+2%) and a sustained vacancy increase (3–5%). Monte Carlo simulation across 10,000 trials shows that 78% of scenarios produce a positive NPV, with a P10 downside of -$12,000 and P90 upside of $195,000. The investment carries moderate risk with asymmetric upside in a normalising interest rate environment.</t>
  </si>
  <si>
    <t>6. KEY RECOMMENDATION</t>
  </si>
  <si>
    <t>PROCEED — subject to: (a) locking in an interest-only fixed-rate mortgage for 3–5 years to manage rate risk; (b) maintaining a 6-month mortgage buffer (~$24,000) in an offset account; (c) targeting a high-demand inner Melbourne suburb with structural undersupply of rental stock; and (d) reviewing exit timing in Year 7–8 if capital growth accelerates ahead of forecast.</t>
  </si>
  <si>
    <t xml:space="preserve">  MELBOURNE PROPERTY INVESTMENT — EXECUTIVE DASHBOARD</t>
  </si>
  <si>
    <t>CASH FLOW, PROPERTY VALUE GROWTH &amp; SCENARIO COMPARISON</t>
  </si>
  <si>
    <t>BREAK-EVEN INSIGHT: NPV becomes negative when vacancy exceeds ~4% OR discount rate exceeds ~9.5% (under base rent growth). The investment remains feasible unless both vacancy AND rates deteriorate simultaneously.</t>
  </si>
  <si>
    <t xml:space="preserve">GOKUL BASKAR </t>
  </si>
  <si>
    <t>NOTE: All financial projections are based on publicly available market data and modelled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</si>
</sst>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-mmm\-yyyy"/>
    <numFmt numFmtId="165" formatCode="\$#,##0;&quot;($&quot;#,##0\);\-"/>
    <numFmt numFmtId="166" formatCode="0.0%;\(0.0%\);\-"/>
    <numFmt numFmtId="167" formatCode="#,##0;\(#,##0\);\-"/>
    <numFmt numFmtId="168" formatCode="0.0000"/>
    <numFmt numFmtId="169" formatCode="0.00%;\(0.00%\);\-"/>
    <numFmt numFmtId="170" formatCode="0.00\x"/>
    <numFmt numFmtId="171" formatCode="0.0&quot; yrs&quot;"/>
    <numFmt numFmtId="172" formatCode="0.0%"/>
  </numFmts>
  <fonts count="27" x14ac:knownFonts="1">
    <font>
      <sz val="11"/>
      <color theme="1"/>
      <name val="Calibri"/>
      <family val="2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FF"/>
      <name val="Arial"/>
      <family val="2"/>
    </font>
    <font>
      <b/>
      <sz val="10"/>
      <color rgb="FF008000"/>
      <name val="Arial"/>
      <family val="2"/>
    </font>
    <font>
      <b/>
      <sz val="10"/>
      <color rgb="FFFF0000"/>
      <name val="Arial"/>
      <family val="2"/>
    </font>
    <font>
      <sz val="10"/>
      <color rgb="FF0000FF"/>
      <name val="Arial"/>
      <family val="2"/>
    </font>
    <font>
      <i/>
      <sz val="9"/>
      <color rgb="FF595959"/>
      <name val="Arial"/>
      <family val="2"/>
    </font>
    <font>
      <sz val="10"/>
      <color rgb="FF008000"/>
      <name val="Arial"/>
      <family val="2"/>
    </font>
    <font>
      <sz val="9"/>
      <color rgb="FF808080"/>
      <name val="Arial"/>
      <family val="2"/>
    </font>
    <font>
      <b/>
      <sz val="11"/>
      <color rgb="FF000000"/>
      <name val="Arial"/>
      <family val="2"/>
    </font>
    <font>
      <b/>
      <sz val="10"/>
      <color rgb="FF1F3864"/>
      <name val="Arial"/>
      <family val="2"/>
    </font>
    <font>
      <b/>
      <sz val="18"/>
      <color rgb="FF008000"/>
      <name val="Arial"/>
      <family val="2"/>
    </font>
    <font>
      <i/>
      <sz val="9"/>
      <color rgb="FF2E5FA3"/>
      <name val="Arial"/>
      <family val="2"/>
    </font>
    <font>
      <b/>
      <sz val="10"/>
      <color rgb="FF2E5FA3"/>
      <name val="Arial"/>
      <family val="2"/>
    </font>
    <font>
      <b/>
      <sz val="10"/>
      <color rgb="FF375623"/>
      <name val="Arial"/>
      <family val="2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3F3F3F"/>
      <name val="Calibri (Body)"/>
    </font>
    <font>
      <sz val="11"/>
      <color rgb="FFFF0000"/>
      <name val="Calibri"/>
      <family val="2"/>
      <charset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2E5FA3"/>
        <bgColor rgb="FF3366FF"/>
      </patternFill>
    </fill>
    <fill>
      <patternFill patternType="solid">
        <fgColor rgb="FFD6E4F7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375623"/>
      </patternFill>
    </fill>
    <fill>
      <patternFill patternType="solid">
        <fgColor theme="2" tint="-0.249977111117893"/>
        <bgColor rgb="FFD9D9D9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5" applyNumberFormat="0" applyAlignment="0" applyProtection="0"/>
    <xf numFmtId="0" fontId="20" fillId="13" borderId="6" applyNumberFormat="0" applyAlignment="0" applyProtection="0"/>
  </cellStyleXfs>
  <cellXfs count="130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 indent="2"/>
    </xf>
    <xf numFmtId="165" fontId="7" fillId="4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left" vertical="center" wrapText="1" indent="1"/>
    </xf>
    <xf numFmtId="0" fontId="2" fillId="5" borderId="2" xfId="0" applyFont="1" applyFill="1" applyBorder="1" applyAlignment="1">
      <alignment horizontal="left" vertical="center" indent="2"/>
    </xf>
    <xf numFmtId="165" fontId="2" fillId="5" borderId="2" xfId="0" applyNumberFormat="1" applyFont="1" applyFill="1" applyBorder="1" applyAlignment="1">
      <alignment horizontal="right" vertical="center"/>
    </xf>
    <xf numFmtId="165" fontId="7" fillId="5" borderId="2" xfId="0" applyNumberFormat="1" applyFont="1" applyFill="1" applyBorder="1" applyAlignment="1">
      <alignment horizontal="right" vertical="center"/>
    </xf>
    <xf numFmtId="165" fontId="2" fillId="6" borderId="2" xfId="0" applyNumberFormat="1" applyFont="1" applyFill="1" applyBorder="1" applyAlignment="1">
      <alignment horizontal="right" vertical="center"/>
    </xf>
    <xf numFmtId="166" fontId="7" fillId="4" borderId="2" xfId="0" applyNumberFormat="1" applyFont="1" applyFill="1" applyBorder="1" applyAlignment="1">
      <alignment horizontal="right" vertical="center"/>
    </xf>
    <xf numFmtId="167" fontId="7" fillId="5" borderId="2" xfId="0" applyNumberFormat="1" applyFont="1" applyFill="1" applyBorder="1" applyAlignment="1">
      <alignment horizontal="right" vertical="center"/>
    </xf>
    <xf numFmtId="167" fontId="7" fillId="4" borderId="2" xfId="0" applyNumberFormat="1" applyFont="1" applyFill="1" applyBorder="1" applyAlignment="1">
      <alignment horizontal="right" vertical="center"/>
    </xf>
    <xf numFmtId="49" fontId="7" fillId="5" borderId="2" xfId="0" applyNumberFormat="1" applyFont="1" applyFill="1" applyBorder="1" applyAlignment="1">
      <alignment horizontal="right" vertical="center"/>
    </xf>
    <xf numFmtId="166" fontId="7" fillId="5" borderId="2" xfId="0" applyNumberFormat="1" applyFont="1" applyFill="1" applyBorder="1" applyAlignment="1">
      <alignment horizontal="right" vertical="center"/>
    </xf>
    <xf numFmtId="166" fontId="2" fillId="4" borderId="2" xfId="0" applyNumberFormat="1" applyFont="1" applyFill="1" applyBorder="1" applyAlignment="1">
      <alignment horizontal="right" vertical="center"/>
    </xf>
    <xf numFmtId="0" fontId="1" fillId="5" borderId="2" xfId="0" applyFont="1" applyFill="1" applyBorder="1" applyAlignment="1">
      <alignment horizontal="left" vertical="center" indent="2"/>
    </xf>
    <xf numFmtId="165" fontId="1" fillId="5" borderId="2" xfId="0" applyNumberFormat="1" applyFont="1" applyFill="1" applyBorder="1" applyAlignment="1">
      <alignment horizontal="right" vertical="center"/>
    </xf>
    <xf numFmtId="165" fontId="9" fillId="5" borderId="2" xfId="0" applyNumberFormat="1" applyFont="1" applyFill="1" applyBorder="1" applyAlignment="1">
      <alignment horizontal="right" vertical="center"/>
    </xf>
    <xf numFmtId="165" fontId="0" fillId="6" borderId="2" xfId="0" applyNumberFormat="1" applyFill="1" applyBorder="1" applyAlignment="1">
      <alignment horizontal="right" vertical="center"/>
    </xf>
    <xf numFmtId="165" fontId="0" fillId="5" borderId="2" xfId="0" applyNumberFormat="1" applyFill="1" applyBorder="1" applyAlignment="1">
      <alignment horizontal="right" vertical="center"/>
    </xf>
    <xf numFmtId="0" fontId="1" fillId="6" borderId="2" xfId="0" applyFont="1" applyFill="1" applyBorder="1" applyAlignment="1">
      <alignment horizontal="left" vertical="center" indent="2"/>
    </xf>
    <xf numFmtId="165" fontId="1" fillId="6" borderId="2" xfId="0" applyNumberFormat="1" applyFont="1" applyFill="1" applyBorder="1" applyAlignment="1">
      <alignment horizontal="right" vertical="center"/>
    </xf>
    <xf numFmtId="1" fontId="7" fillId="5" borderId="2" xfId="0" applyNumberFormat="1" applyFont="1" applyFill="1" applyBorder="1" applyAlignment="1">
      <alignment horizontal="right" vertical="center"/>
    </xf>
    <xf numFmtId="168" fontId="2" fillId="6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left" vertical="center" indent="1"/>
    </xf>
    <xf numFmtId="165" fontId="1" fillId="4" borderId="2" xfId="0" applyNumberFormat="1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left" vertical="center" indent="1"/>
    </xf>
    <xf numFmtId="169" fontId="2" fillId="4" borderId="2" xfId="0" applyNumberFormat="1" applyFont="1" applyFill="1" applyBorder="1" applyAlignment="1">
      <alignment horizontal="right" vertical="center"/>
    </xf>
    <xf numFmtId="166" fontId="2" fillId="5" borderId="2" xfId="0" applyNumberFormat="1" applyFont="1" applyFill="1" applyBorder="1" applyAlignment="1">
      <alignment horizontal="right" vertical="center"/>
    </xf>
    <xf numFmtId="166" fontId="2" fillId="6" borderId="2" xfId="0" applyNumberFormat="1" applyFont="1" applyFill="1" applyBorder="1" applyAlignment="1">
      <alignment horizontal="right" vertical="center"/>
    </xf>
    <xf numFmtId="170" fontId="2" fillId="6" borderId="2" xfId="0" applyNumberFormat="1" applyFont="1" applyFill="1" applyBorder="1" applyAlignment="1">
      <alignment horizontal="right" vertical="center"/>
    </xf>
    <xf numFmtId="171" fontId="2" fillId="5" borderId="2" xfId="0" applyNumberFormat="1" applyFont="1" applyFill="1" applyBorder="1" applyAlignment="1">
      <alignment horizontal="right" vertical="center"/>
    </xf>
    <xf numFmtId="49" fontId="1" fillId="4" borderId="2" xfId="0" applyNumberFormat="1" applyFont="1" applyFill="1" applyBorder="1" applyAlignment="1">
      <alignment horizontal="right" vertical="center"/>
    </xf>
    <xf numFmtId="0" fontId="10" fillId="0" borderId="0" xfId="0" applyFont="1"/>
    <xf numFmtId="165" fontId="0" fillId="0" borderId="0" xfId="0" applyNumberFormat="1"/>
    <xf numFmtId="165" fontId="5" fillId="6" borderId="2" xfId="0" applyNumberFormat="1" applyFont="1" applyFill="1" applyBorder="1" applyAlignment="1">
      <alignment horizontal="right" vertical="center"/>
    </xf>
    <xf numFmtId="0" fontId="0" fillId="6" borderId="2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 indent="1"/>
    </xf>
    <xf numFmtId="169" fontId="5" fillId="5" borderId="2" xfId="0" applyNumberFormat="1" applyFont="1" applyFill="1" applyBorder="1" applyAlignment="1">
      <alignment horizontal="right" vertical="center"/>
    </xf>
    <xf numFmtId="0" fontId="0" fillId="5" borderId="2" xfId="0" applyFill="1" applyBorder="1" applyAlignment="1">
      <alignment horizontal="center" vertical="center"/>
    </xf>
    <xf numFmtId="166" fontId="5" fillId="6" borderId="2" xfId="0" applyNumberFormat="1" applyFont="1" applyFill="1" applyBorder="1" applyAlignment="1">
      <alignment horizontal="right" vertical="center"/>
    </xf>
    <xf numFmtId="166" fontId="5" fillId="5" borderId="2" xfId="0" applyNumberFormat="1" applyFont="1" applyFill="1" applyBorder="1" applyAlignment="1">
      <alignment horizontal="right" vertical="center"/>
    </xf>
    <xf numFmtId="170" fontId="5" fillId="5" borderId="2" xfId="0" applyNumberFormat="1" applyFont="1" applyFill="1" applyBorder="1" applyAlignment="1">
      <alignment horizontal="right" vertical="center"/>
    </xf>
    <xf numFmtId="171" fontId="5" fillId="6" borderId="2" xfId="0" applyNumberFormat="1" applyFont="1" applyFill="1" applyBorder="1" applyAlignment="1">
      <alignment horizontal="right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right" vertical="center"/>
    </xf>
    <xf numFmtId="166" fontId="7" fillId="6" borderId="2" xfId="0" applyNumberFormat="1" applyFont="1" applyFill="1" applyBorder="1" applyAlignment="1">
      <alignment horizontal="right" vertical="center"/>
    </xf>
    <xf numFmtId="165" fontId="5" fillId="5" borderId="2" xfId="0" applyNumberFormat="1" applyFont="1" applyFill="1" applyBorder="1" applyAlignment="1">
      <alignment horizontal="right" vertical="center"/>
    </xf>
    <xf numFmtId="169" fontId="5" fillId="6" borderId="2" xfId="0" applyNumberFormat="1" applyFont="1" applyFill="1" applyBorder="1" applyAlignment="1">
      <alignment horizontal="right" vertical="center"/>
    </xf>
    <xf numFmtId="169" fontId="2" fillId="6" borderId="2" xfId="0" applyNumberFormat="1" applyFont="1" applyFill="1" applyBorder="1" applyAlignment="1">
      <alignment horizontal="right" vertical="center"/>
    </xf>
    <xf numFmtId="169" fontId="1" fillId="5" borderId="2" xfId="0" applyNumberFormat="1" applyFont="1" applyFill="1" applyBorder="1" applyAlignment="1">
      <alignment horizontal="right" vertical="center"/>
    </xf>
    <xf numFmtId="169" fontId="1" fillId="6" borderId="2" xfId="0" applyNumberFormat="1" applyFont="1" applyFill="1" applyBorder="1" applyAlignment="1">
      <alignment horizontal="right" vertical="center"/>
    </xf>
    <xf numFmtId="49" fontId="1" fillId="6" borderId="2" xfId="0" applyNumberFormat="1" applyFont="1" applyFill="1" applyBorder="1" applyAlignment="1">
      <alignment horizontal="right" vertical="center"/>
    </xf>
    <xf numFmtId="49" fontId="1" fillId="5" borderId="2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3" fillId="2" borderId="2" xfId="0" applyFont="1" applyFill="1" applyBorder="1" applyAlignment="1">
      <alignment horizontal="center"/>
    </xf>
    <xf numFmtId="165" fontId="9" fillId="5" borderId="2" xfId="0" applyNumberFormat="1" applyFont="1" applyFill="1" applyBorder="1" applyAlignment="1">
      <alignment horizontal="right"/>
    </xf>
    <xf numFmtId="165" fontId="9" fillId="6" borderId="2" xfId="0" applyNumberFormat="1" applyFont="1" applyFill="1" applyBorder="1" applyAlignment="1">
      <alignment horizontal="right"/>
    </xf>
    <xf numFmtId="0" fontId="6" fillId="5" borderId="2" xfId="0" applyFont="1" applyFill="1" applyBorder="1" applyAlignment="1">
      <alignment horizontal="center"/>
    </xf>
    <xf numFmtId="165" fontId="5" fillId="5" borderId="2" xfId="0" applyNumberFormat="1" applyFont="1" applyFill="1" applyBorder="1" applyAlignment="1">
      <alignment horizontal="right"/>
    </xf>
    <xf numFmtId="172" fontId="5" fillId="5" borderId="2" xfId="0" applyNumberFormat="1" applyFont="1" applyFill="1" applyBorder="1" applyAlignment="1">
      <alignment horizontal="right"/>
    </xf>
    <xf numFmtId="0" fontId="15" fillId="6" borderId="2" xfId="0" applyFont="1" applyFill="1" applyBorder="1" applyAlignment="1">
      <alignment horizontal="center"/>
    </xf>
    <xf numFmtId="165" fontId="5" fillId="6" borderId="2" xfId="0" applyNumberFormat="1" applyFont="1" applyFill="1" applyBorder="1" applyAlignment="1">
      <alignment horizontal="right"/>
    </xf>
    <xf numFmtId="172" fontId="5" fillId="6" borderId="2" xfId="0" applyNumberFormat="1" applyFont="1" applyFill="1" applyBorder="1" applyAlignment="1">
      <alignment horizontal="right"/>
    </xf>
    <xf numFmtId="0" fontId="16" fillId="5" borderId="2" xfId="0" applyFont="1" applyFill="1" applyBorder="1" applyAlignment="1">
      <alignment horizontal="center"/>
    </xf>
    <xf numFmtId="0" fontId="19" fillId="12" borderId="5" xfId="3" applyAlignment="1">
      <alignment horizontal="center" vertical="center"/>
    </xf>
    <xf numFmtId="0" fontId="19" fillId="12" borderId="5" xfId="3"/>
    <xf numFmtId="0" fontId="19" fillId="12" borderId="5" xfId="3" applyAlignment="1">
      <alignment horizontal="left" vertical="center" indent="2"/>
    </xf>
    <xf numFmtId="0" fontId="19" fillId="12" borderId="5" xfId="3" applyAlignment="1">
      <alignment horizontal="left" vertical="top" wrapText="1" indent="2"/>
    </xf>
    <xf numFmtId="0" fontId="18" fillId="11" borderId="2" xfId="2" applyBorder="1" applyAlignment="1">
      <alignment horizontal="center" vertical="center"/>
    </xf>
    <xf numFmtId="49" fontId="19" fillId="12" borderId="5" xfId="3" applyNumberFormat="1" applyAlignment="1">
      <alignment horizontal="center" vertical="center"/>
    </xf>
    <xf numFmtId="0" fontId="18" fillId="11" borderId="2" xfId="2" applyBorder="1" applyAlignment="1">
      <alignment horizontal="left" vertical="center" indent="2"/>
    </xf>
    <xf numFmtId="49" fontId="18" fillId="11" borderId="2" xfId="2" applyNumberFormat="1" applyBorder="1" applyAlignment="1">
      <alignment horizontal="center" vertical="center"/>
    </xf>
    <xf numFmtId="0" fontId="20" fillId="14" borderId="6" xfId="4" applyFill="1" applyAlignment="1">
      <alignment horizontal="center" vertical="center"/>
    </xf>
    <xf numFmtId="0" fontId="0" fillId="14" borderId="0" xfId="0" applyFill="1"/>
    <xf numFmtId="0" fontId="0" fillId="15" borderId="0" xfId="0" applyFill="1"/>
    <xf numFmtId="0" fontId="19" fillId="15" borderId="5" xfId="3" applyFill="1" applyAlignment="1">
      <alignment horizontal="left" vertical="top" wrapText="1" indent="2"/>
    </xf>
    <xf numFmtId="0" fontId="1" fillId="20" borderId="7" xfId="0" applyFont="1" applyFill="1" applyBorder="1" applyAlignment="1">
      <alignment horizontal="left" vertical="center" indent="2"/>
    </xf>
    <xf numFmtId="0" fontId="2" fillId="5" borderId="7" xfId="0" applyFont="1" applyFill="1" applyBorder="1" applyAlignment="1">
      <alignment horizontal="left" vertical="center" indent="2"/>
    </xf>
    <xf numFmtId="165" fontId="2" fillId="5" borderId="7" xfId="0" applyNumberFormat="1" applyFont="1" applyFill="1" applyBorder="1" applyAlignment="1">
      <alignment horizontal="left" vertical="center" indent="2"/>
    </xf>
    <xf numFmtId="0" fontId="1" fillId="16" borderId="0" xfId="0" applyFont="1" applyFill="1" applyAlignment="1">
      <alignment horizontal="left" vertical="center" indent="2"/>
    </xf>
    <xf numFmtId="0" fontId="2" fillId="18" borderId="0" xfId="0" applyFont="1" applyFill="1" applyAlignment="1">
      <alignment horizontal="left" vertical="center" indent="2"/>
    </xf>
    <xf numFmtId="0" fontId="2" fillId="17" borderId="7" xfId="0" applyFont="1" applyFill="1" applyBorder="1" applyAlignment="1">
      <alignment horizontal="left" vertical="center" indent="2"/>
    </xf>
    <xf numFmtId="164" fontId="2" fillId="5" borderId="7" xfId="0" applyNumberFormat="1" applyFont="1" applyFill="1" applyBorder="1" applyAlignment="1">
      <alignment horizontal="left" vertical="center" indent="2"/>
    </xf>
    <xf numFmtId="0" fontId="24" fillId="21" borderId="7" xfId="2" applyFont="1" applyFill="1" applyBorder="1" applyAlignment="1">
      <alignment horizontal="center" vertical="center"/>
    </xf>
    <xf numFmtId="0" fontId="23" fillId="21" borderId="7" xfId="2" applyFont="1" applyFill="1" applyBorder="1" applyAlignment="1">
      <alignment horizontal="center" vertical="center"/>
    </xf>
    <xf numFmtId="0" fontId="22" fillId="19" borderId="0" xfId="0" applyFont="1" applyFill="1"/>
    <xf numFmtId="0" fontId="2" fillId="17" borderId="0" xfId="0" applyFont="1" applyFill="1" applyAlignment="1">
      <alignment horizontal="left" vertical="center" indent="2"/>
    </xf>
    <xf numFmtId="0" fontId="19" fillId="12" borderId="5" xfId="3" applyAlignment="1">
      <alignment horizontal="left" vertical="center" indent="1"/>
    </xf>
    <xf numFmtId="0" fontId="19" fillId="12" borderId="5" xfId="3" applyAlignment="1">
      <alignment horizontal="center" vertical="center"/>
    </xf>
    <xf numFmtId="0" fontId="18" fillId="11" borderId="0" xfId="2" applyAlignment="1">
      <alignment horizontal="center" vertical="center"/>
    </xf>
    <xf numFmtId="0" fontId="18" fillId="11" borderId="1" xfId="2" applyBorder="1" applyAlignment="1">
      <alignment horizontal="left" vertical="center" indent="1"/>
    </xf>
    <xf numFmtId="0" fontId="8" fillId="0" borderId="0" xfId="0" applyFont="1"/>
    <xf numFmtId="0" fontId="12" fillId="3" borderId="1" xfId="0" applyFont="1" applyFill="1" applyBorder="1" applyAlignment="1">
      <alignment horizontal="left" vertical="center" wrapText="1" indent="2"/>
    </xf>
    <xf numFmtId="0" fontId="1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wrapText="1" indent="1"/>
    </xf>
    <xf numFmtId="0" fontId="17" fillId="10" borderId="4" xfId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2"/>
    </xf>
    <xf numFmtId="49" fontId="5" fillId="5" borderId="1" xfId="0" applyNumberFormat="1" applyFont="1" applyFill="1" applyBorder="1" applyAlignment="1">
      <alignment horizontal="right" vertical="center"/>
    </xf>
    <xf numFmtId="0" fontId="1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indent="1"/>
    </xf>
    <xf numFmtId="165" fontId="5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 indent="2"/>
    </xf>
    <xf numFmtId="165" fontId="5" fillId="6" borderId="1" xfId="0" applyNumberFormat="1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indent="1"/>
    </xf>
    <xf numFmtId="166" fontId="5" fillId="6" borderId="1" xfId="0" applyNumberFormat="1" applyFont="1" applyFill="1" applyBorder="1" applyAlignment="1">
      <alignment horizontal="right" vertical="center"/>
    </xf>
    <xf numFmtId="166" fontId="13" fillId="3" borderId="3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5" fontId="13" fillId="3" borderId="3" xfId="0" applyNumberFormat="1" applyFont="1" applyFill="1" applyBorder="1" applyAlignment="1">
      <alignment horizontal="center" vertical="center"/>
    </xf>
    <xf numFmtId="169" fontId="13" fillId="3" borderId="3" xfId="0" applyNumberFormat="1" applyFont="1" applyFill="1" applyBorder="1" applyAlignment="1">
      <alignment horizontal="center" vertical="center"/>
    </xf>
    <xf numFmtId="170" fontId="13" fillId="3" borderId="3" xfId="0" applyNumberFormat="1" applyFont="1" applyFill="1" applyBorder="1" applyAlignment="1">
      <alignment horizontal="center" vertical="center"/>
    </xf>
    <xf numFmtId="0" fontId="21" fillId="12" borderId="5" xfId="3" applyFont="1" applyAlignment="1">
      <alignment horizontal="center" vertical="center"/>
    </xf>
    <xf numFmtId="0" fontId="17" fillId="10" borderId="4" xfId="1" applyBorder="1" applyAlignment="1">
      <alignment horizontal="center" vertical="center"/>
    </xf>
    <xf numFmtId="0" fontId="0" fillId="0" borderId="0" xfId="0" applyFill="1" applyBorder="1"/>
    <xf numFmtId="0" fontId="2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horizontal="left" vertical="center" indent="2"/>
    </xf>
    <xf numFmtId="0" fontId="2" fillId="0" borderId="0" xfId="0" applyFont="1" applyFill="1" applyBorder="1" applyAlignment="1">
      <alignment horizontal="left" vertical="center" indent="1"/>
    </xf>
    <xf numFmtId="0" fontId="1" fillId="0" borderId="0" xfId="0" applyFont="1" applyFill="1" applyBorder="1" applyAlignment="1">
      <alignment horizontal="left" vertical="center" indent="2"/>
    </xf>
    <xf numFmtId="0" fontId="5" fillId="0" borderId="0" xfId="0" applyFont="1" applyFill="1" applyBorder="1" applyAlignment="1">
      <alignment horizontal="left" vertical="center" indent="2"/>
    </xf>
    <xf numFmtId="0" fontId="6" fillId="0" borderId="0" xfId="0" applyFont="1" applyFill="1" applyBorder="1" applyAlignment="1">
      <alignment horizontal="left" vertical="center" indent="2"/>
    </xf>
    <xf numFmtId="0" fontId="26" fillId="0" borderId="0" xfId="0" applyFont="1"/>
  </cellXfs>
  <cellStyles count="5">
    <cellStyle name="Check Cell" xfId="4" builtinId="23"/>
    <cellStyle name="Good" xfId="1" builtinId="26"/>
    <cellStyle name="Neutral" xfId="2" builtinId="28"/>
    <cellStyle name="Normal" xfId="0" builtinId="0"/>
    <cellStyle name="Output" xfId="3" builtinId="2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08080"/>
      <rgbColor rgb="FFBBBBBB"/>
      <rgbColor rgb="FF808080"/>
      <rgbColor rgb="FF93A9CE"/>
      <rgbColor rgb="FFAB4744"/>
      <rgbColor rgb="FFF2F2F2"/>
      <rgbColor rgb="FFD6E4F7"/>
      <rgbColor rgb="FF660066"/>
      <rgbColor rgb="FFDC853E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D09493"/>
      <rgbColor rgb="FFCC99FF"/>
      <rgbColor rgb="FFB8CD97"/>
      <rgbColor rgb="FF3366FF"/>
      <rgbColor rgb="FF33CCCC"/>
      <rgbColor rgb="FF99CC00"/>
      <rgbColor rgb="FFFFC000"/>
      <rgbColor rgb="FFFF9900"/>
      <rgbColor rgb="FFC55A11"/>
      <rgbColor rgb="FF725990"/>
      <rgbColor rgb="FFA99BBD"/>
      <rgbColor rgb="FF1F3864"/>
      <rgbColor rgb="FF4299B0"/>
      <rgbColor rgb="FF003300"/>
      <rgbColor rgb="FF333300"/>
      <rgbColor rgb="FF993300"/>
      <rgbColor rgb="FF7030A0"/>
      <rgbColor rgb="FF59595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Annual Net Cash Flow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E5FA3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Dashboard!$C$28:$L$28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Dashboard!$C$29</c:f>
              <c:numCache>
                <c:formatCode>\$#,##0;"($"#,##0\);\-</c:formatCode>
                <c:ptCount val="1"/>
                <c:pt idx="0">
                  <c:v>25110.644599999996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F-6E49-B49F-8C68C52C64BC}"/>
            </c:ext>
          </c:extLst>
        </c:ser>
        <c:ser>
          <c:idx val="1"/>
          <c:order val="1"/>
          <c:tx>
            <c:strRef>
              <c:f>Dashboard!$D$28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AB474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Dashboard!$C$28:$L$28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Dashboard!$D$29</c:f>
              <c:numCache>
                <c:formatCode>\$#,##0;"($"#,##0\);\-</c:formatCode>
                <c:ptCount val="1"/>
                <c:pt idx="0">
                  <c:v>26199.883384000001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FF-6E49-B49F-8C68C52C64BC}"/>
            </c:ext>
          </c:extLst>
        </c:ser>
        <c:ser>
          <c:idx val="2"/>
          <c:order val="2"/>
          <c:tx>
            <c:strRef>
              <c:f>Dashboard!$E$28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rgbClr val="8AA64F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Dashboard!$C$28:$L$28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Dashboard!$E$29</c:f>
              <c:numCache>
                <c:formatCode>\$#,##0;"($"#,##0\);\-</c:formatCode>
                <c:ptCount val="1"/>
                <c:pt idx="0">
                  <c:v>27335.451719359997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FF-6E49-B49F-8C68C52C64BC}"/>
            </c:ext>
          </c:extLst>
        </c:ser>
        <c:ser>
          <c:idx val="3"/>
          <c:order val="3"/>
          <c:tx>
            <c:strRef>
              <c:f>Dashboard!$F$28</c:f>
              <c:strCache>
                <c:ptCount val="1"/>
                <c:pt idx="0">
                  <c:v>2028</c:v>
                </c:pt>
              </c:strCache>
            </c:strRef>
          </c:tx>
          <c:spPr>
            <a:solidFill>
              <a:srgbClr val="72599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Dashboard!$C$28:$L$28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Dashboard!$F$29</c:f>
              <c:numCache>
                <c:formatCode>\$#,##0;"($"#,##0\);\-</c:formatCode>
                <c:ptCount val="1"/>
                <c:pt idx="0">
                  <c:v>28519.285588134397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FF-6E49-B49F-8C68C52C64BC}"/>
            </c:ext>
          </c:extLst>
        </c:ser>
        <c:ser>
          <c:idx val="4"/>
          <c:order val="4"/>
          <c:tx>
            <c:strRef>
              <c:f>Dashboard!$G$28</c:f>
              <c:strCache>
                <c:ptCount val="1"/>
                <c:pt idx="0">
                  <c:v>2029</c:v>
                </c:pt>
              </c:strCache>
            </c:strRef>
          </c:tx>
          <c:spPr>
            <a:solidFill>
              <a:srgbClr val="4299B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Dashboard!$C$28:$L$28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Dashboard!$G$29</c:f>
              <c:numCache>
                <c:formatCode>\$#,##0;"($"#,##0\);\-</c:formatCode>
                <c:ptCount val="1"/>
                <c:pt idx="0">
                  <c:v>29753.400895659768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FF-6E49-B49F-8C68C52C64BC}"/>
            </c:ext>
          </c:extLst>
        </c:ser>
        <c:ser>
          <c:idx val="5"/>
          <c:order val="5"/>
          <c:tx>
            <c:strRef>
              <c:f>Dashboard!$H$28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rgbClr val="DC853E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Dashboard!$C$28:$L$28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Dashboard!$H$29</c:f>
              <c:numCache>
                <c:formatCode>\$#,##0;"($"#,##0\);\-</c:formatCode>
                <c:ptCount val="1"/>
                <c:pt idx="0">
                  <c:v>31039.89674200616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FF-6E49-B49F-8C68C52C64BC}"/>
            </c:ext>
          </c:extLst>
        </c:ser>
        <c:ser>
          <c:idx val="6"/>
          <c:order val="6"/>
          <c:tx>
            <c:strRef>
              <c:f>Dashboard!$I$28</c:f>
              <c:strCache>
                <c:ptCount val="1"/>
                <c:pt idx="0">
                  <c:v>2031</c:v>
                </c:pt>
              </c:strCache>
            </c:strRef>
          </c:tx>
          <c:spPr>
            <a:solidFill>
              <a:srgbClr val="93A9CE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Dashboard!$C$28:$L$28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Dashboard!$I$29</c:f>
              <c:numCache>
                <c:formatCode>\$#,##0;"($"#,##0\);\-</c:formatCode>
                <c:ptCount val="1"/>
                <c:pt idx="0">
                  <c:v>32380.958826522005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FF-6E49-B49F-8C68C52C64BC}"/>
            </c:ext>
          </c:extLst>
        </c:ser>
        <c:ser>
          <c:idx val="7"/>
          <c:order val="7"/>
          <c:tx>
            <c:strRef>
              <c:f>Dashboard!$J$28</c:f>
              <c:strCache>
                <c:ptCount val="1"/>
                <c:pt idx="0">
                  <c:v>2032</c:v>
                </c:pt>
              </c:strCache>
            </c:strRef>
          </c:tx>
          <c:spPr>
            <a:solidFill>
              <a:srgbClr val="D0949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Dashboard!$C$28:$L$28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Dashboard!$J$29</c:f>
              <c:numCache>
                <c:formatCode>\$#,##0;"($"#,##0\);\-</c:formatCode>
                <c:ptCount val="1"/>
                <c:pt idx="0">
                  <c:v>33778.862990863556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FF-6E49-B49F-8C68C52C64BC}"/>
            </c:ext>
          </c:extLst>
        </c:ser>
        <c:ser>
          <c:idx val="8"/>
          <c:order val="8"/>
          <c:tx>
            <c:strRef>
              <c:f>Dashboard!$K$28</c:f>
              <c:strCache>
                <c:ptCount val="1"/>
                <c:pt idx="0">
                  <c:v>2033</c:v>
                </c:pt>
              </c:strCache>
            </c:strRef>
          </c:tx>
          <c:spPr>
            <a:solidFill>
              <a:srgbClr val="B8CD97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Dashboard!$C$28:$L$28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Dashboard!$K$29</c:f>
              <c:numCache>
                <c:formatCode>\$#,##0;"($"#,##0\);\-</c:formatCode>
                <c:ptCount val="1"/>
                <c:pt idx="0">
                  <c:v>35235.97890611719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FF-6E49-B49F-8C68C52C64BC}"/>
            </c:ext>
          </c:extLst>
        </c:ser>
        <c:ser>
          <c:idx val="9"/>
          <c:order val="9"/>
          <c:tx>
            <c:strRef>
              <c:f>Dashboard!$L$28</c:f>
              <c:strCache>
                <c:ptCount val="1"/>
                <c:pt idx="0">
                  <c:v>2034</c:v>
                </c:pt>
              </c:strCache>
            </c:strRef>
          </c:tx>
          <c:spPr>
            <a:solidFill>
              <a:srgbClr val="A99B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Dashboard!$C$28:$L$28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Dashboard!$L$29</c:f>
              <c:numCache>
                <c:formatCode>\$#,##0;"($"#,##0\);\-</c:formatCode>
                <c:ptCount val="1"/>
                <c:pt idx="0">
                  <c:v>36754.773909849537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FF-6E49-B49F-8C68C52C6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512764"/>
        <c:axId val="10441520"/>
      </c:barChart>
      <c:catAx>
        <c:axId val="63512764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10441520"/>
        <c:crosses val="autoZero"/>
        <c:auto val="1"/>
        <c:lblAlgn val="ctr"/>
        <c:lblOffset val="100"/>
        <c:noMultiLvlLbl val="0"/>
      </c:catAx>
      <c:valAx>
        <c:axId val="104415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AUD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127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NPV by Scenario: Bear / Base / Bull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Dashboard!$O$28</c:f>
              <c:strCache>
                <c:ptCount val="1"/>
                <c:pt idx="0">
                  <c:v>NPV ($)</c:v>
                </c:pt>
              </c:strCache>
            </c:strRef>
          </c:tx>
          <c:spPr>
            <a:solidFill>
              <a:srgbClr val="2E5FA3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332-BD45-A8BC-6B28AF9CCFD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332-BD45-A8BC-6B28AF9CCFDA}"/>
              </c:ext>
            </c:extLst>
          </c:dPt>
          <c:dPt>
            <c:idx val="2"/>
            <c:invertIfNegative val="0"/>
            <c:bubble3D val="0"/>
            <c:spPr>
              <a:solidFill>
                <a:srgbClr val="37562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B332-BD45-A8BC-6B28AF9CCFD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32-BD45-A8BC-6B28AF9CCFD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32-BD45-A8BC-6B28AF9CCFD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32-BD45-A8BC-6B28AF9CCF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Dashboard!$N$29:$N$31</c:f>
              <c:strCache>
                <c:ptCount val="3"/>
                <c:pt idx="0">
                  <c:v>Bear Case</c:v>
                </c:pt>
                <c:pt idx="1">
                  <c:v>Base Case</c:v>
                </c:pt>
                <c:pt idx="2">
                  <c:v>Bull Case</c:v>
                </c:pt>
              </c:strCache>
            </c:strRef>
          </c:cat>
          <c:val>
            <c:numRef>
              <c:f>Dashboard!$O$29:$O$31</c:f>
              <c:numCache>
                <c:formatCode>\$#,##0;"($"#,##0\);\-</c:formatCode>
                <c:ptCount val="3"/>
                <c:pt idx="0">
                  <c:v>-51063.771272610757</c:v>
                </c:pt>
                <c:pt idx="1">
                  <c:v>-145896.48935031646</c:v>
                </c:pt>
                <c:pt idx="2">
                  <c:v>-240729.20742802214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32-BD45-A8BC-6B28AF9CC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27434"/>
        <c:axId val="42074438"/>
      </c:barChart>
      <c:catAx>
        <c:axId val="792274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074438"/>
        <c:crosses val="autoZero"/>
        <c:auto val="1"/>
        <c:lblAlgn val="ctr"/>
        <c:lblOffset val="100"/>
        <c:noMultiLvlLbl val="0"/>
      </c:catAx>
      <c:valAx>
        <c:axId val="420744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NPV (AUD 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2274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Property Value Over 10 Year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Dashboard!$B$30</c:f>
              <c:strCache>
                <c:ptCount val="1"/>
                <c:pt idx="0">
                  <c:v>Property Value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Dashboard!$C$28:$L$28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Dashboard!$C$30:$L$30</c:f>
              <c:numCache>
                <c:formatCode>\$#,##0;"($"#,##0\);\-</c:formatCode>
                <c:ptCount val="10"/>
                <c:pt idx="0">
                  <c:v>750000</c:v>
                </c:pt>
                <c:pt idx="1">
                  <c:v>780000</c:v>
                </c:pt>
                <c:pt idx="2">
                  <c:v>811200</c:v>
                </c:pt>
                <c:pt idx="3">
                  <c:v>843648</c:v>
                </c:pt>
                <c:pt idx="4">
                  <c:v>877393.92000000004</c:v>
                </c:pt>
                <c:pt idx="5">
                  <c:v>912489.67680000013</c:v>
                </c:pt>
                <c:pt idx="6">
                  <c:v>948989.26387200016</c:v>
                </c:pt>
                <c:pt idx="7">
                  <c:v>986948.83442688023</c:v>
                </c:pt>
                <c:pt idx="8">
                  <c:v>1026426.7878039555</c:v>
                </c:pt>
                <c:pt idx="9">
                  <c:v>1067483.8593161136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A-5F43-B5D8-2AEB56164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703344"/>
        <c:axId val="1741705056"/>
      </c:lineChart>
      <c:catAx>
        <c:axId val="174170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705056"/>
        <c:crosses val="autoZero"/>
        <c:auto val="1"/>
        <c:lblAlgn val="ctr"/>
        <c:lblOffset val="100"/>
        <c:noMultiLvlLbl val="0"/>
      </c:catAx>
      <c:valAx>
        <c:axId val="174170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&quot;(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70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Dashboard!$B$31</c:f>
              <c:strCache>
                <c:ptCount val="1"/>
                <c:pt idx="0">
                  <c:v>Cumulative Cash Flow ($)</c:v>
                </c:pt>
              </c:strCache>
            </c:strRef>
          </c:tx>
          <c:spPr>
            <a:gradFill>
              <a:gsLst>
                <a:gs pos="0">
                  <a:schemeClr val="accent1">
                    <a:tint val="50000"/>
                  </a:schemeClr>
                </a:gs>
                <a:gs pos="35000">
                  <a:schemeClr val="accent1">
                    <a:tint val="37000"/>
                  </a:schemeClr>
                </a:gs>
                <a:gs pos="100000">
                  <a:schemeClr val="accent1">
                    <a:tint val="15000"/>
                  </a:schemeClr>
                </a:gs>
              </a:gsLst>
              <a:lin ang="16200000" scaled="1"/>
              <a:tileRect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Dashboard!$C$28:$L$28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Dashboard!$C$31:$L$31</c:f>
              <c:numCache>
                <c:formatCode>\$#,##0;"($"#,##0\);\-</c:formatCode>
                <c:ptCount val="10"/>
                <c:pt idx="0">
                  <c:v>25110.644599999996</c:v>
                </c:pt>
                <c:pt idx="1">
                  <c:v>51310.527984</c:v>
                </c:pt>
                <c:pt idx="2">
                  <c:v>78645.979703360004</c:v>
                </c:pt>
                <c:pt idx="3">
                  <c:v>107165.2652914944</c:v>
                </c:pt>
                <c:pt idx="4">
                  <c:v>136918.66618715419</c:v>
                </c:pt>
                <c:pt idx="5">
                  <c:v>167958.56292916034</c:v>
                </c:pt>
                <c:pt idx="6">
                  <c:v>200339.52175568233</c:v>
                </c:pt>
                <c:pt idx="7">
                  <c:v>234118.3847465459</c:v>
                </c:pt>
                <c:pt idx="8">
                  <c:v>269354.36365266307</c:v>
                </c:pt>
                <c:pt idx="9">
                  <c:v>306109.13756251259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D-F840-AC2B-62D10809D2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07724399"/>
        <c:axId val="1707726111"/>
      </c:barChart>
      <c:catAx>
        <c:axId val="170772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26111"/>
        <c:crosses val="autoZero"/>
        <c:auto val="1"/>
        <c:lblAlgn val="ctr"/>
        <c:lblOffset val="100"/>
        <c:noMultiLvlLbl val="0"/>
      </c:catAx>
      <c:valAx>
        <c:axId val="170772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&quot;(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2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8</xdr:col>
      <xdr:colOff>406400</xdr:colOff>
      <xdr:row>55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101600</xdr:colOff>
      <xdr:row>56</xdr:row>
      <xdr:rowOff>165100</xdr:rowOff>
    </xdr:from>
    <xdr:to>
      <xdr:col>16</xdr:col>
      <xdr:colOff>749300</xdr:colOff>
      <xdr:row>82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</xdr:colOff>
      <xdr:row>35</xdr:row>
      <xdr:rowOff>57150</xdr:rowOff>
    </xdr:from>
    <xdr:to>
      <xdr:col>15</xdr:col>
      <xdr:colOff>889000</xdr:colOff>
      <xdr:row>53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103984-D25D-1CC0-231B-FDC648F12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393700</xdr:colOff>
      <xdr:row>56</xdr:row>
      <xdr:rowOff>158750</xdr:rowOff>
    </xdr:from>
    <xdr:to>
      <xdr:col>9</xdr:col>
      <xdr:colOff>88900</xdr:colOff>
      <xdr:row>83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DDBA9E-5A2A-F3D0-4611-AC0B774FE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G21"/>
  <sheetViews>
    <sheetView showGridLines="0" zoomScaleNormal="100" workbookViewId="0">
      <selection activeCell="J35" sqref="J35"/>
    </sheetView>
  </sheetViews>
  <sheetFormatPr baseColWidth="10" defaultColWidth="8.6640625" defaultRowHeight="15" x14ac:dyDescent="0.2"/>
  <cols>
    <col min="1" max="1" width="4" customWidth="1"/>
    <col min="2" max="2" width="32" customWidth="1"/>
    <col min="3" max="3" width="16.1640625" customWidth="1"/>
    <col min="4" max="5" width="20" customWidth="1"/>
  </cols>
  <sheetData>
    <row r="2" spans="2:7" ht="42" customHeight="1" x14ac:dyDescent="0.2">
      <c r="B2" s="91" t="s">
        <v>0</v>
      </c>
      <c r="C2" s="91"/>
      <c r="D2" s="91"/>
      <c r="E2" s="91"/>
    </row>
    <row r="3" spans="2:7" ht="21.75" customHeight="1" x14ac:dyDescent="0.2">
      <c r="B3" s="92" t="s">
        <v>1</v>
      </c>
      <c r="C3" s="92"/>
      <c r="D3" s="92"/>
      <c r="E3" s="92"/>
    </row>
    <row r="4" spans="2:7" ht="4.5" customHeight="1" x14ac:dyDescent="0.2">
      <c r="B4" s="93"/>
      <c r="C4" s="93"/>
      <c r="D4" s="93"/>
      <c r="E4" s="93"/>
    </row>
    <row r="6" spans="2:7" ht="18" customHeight="1" x14ac:dyDescent="0.2">
      <c r="B6" s="87"/>
      <c r="C6" s="87"/>
      <c r="D6" s="94"/>
      <c r="E6" s="94"/>
    </row>
    <row r="7" spans="2:7" ht="18" customHeight="1" x14ac:dyDescent="0.2">
      <c r="B7" s="87"/>
      <c r="C7" s="87"/>
      <c r="D7" s="88"/>
      <c r="E7" s="88"/>
    </row>
    <row r="8" spans="2:7" ht="18" customHeight="1" x14ac:dyDescent="0.2">
      <c r="B8" s="84" t="s">
        <v>2</v>
      </c>
      <c r="C8" s="84"/>
      <c r="D8" s="89" t="s">
        <v>327</v>
      </c>
      <c r="E8" s="89"/>
    </row>
    <row r="9" spans="2:7" ht="18" customHeight="1" x14ac:dyDescent="0.2">
      <c r="B9" s="84" t="s">
        <v>3</v>
      </c>
      <c r="C9" s="84"/>
      <c r="D9" s="90">
        <f ca="1">TODAY()</f>
        <v>46105</v>
      </c>
      <c r="E9" s="90"/>
    </row>
    <row r="10" spans="2:7" ht="18" customHeight="1" x14ac:dyDescent="0.2">
      <c r="B10" s="84" t="s">
        <v>4</v>
      </c>
      <c r="C10" s="84"/>
      <c r="D10" s="85" t="s">
        <v>5</v>
      </c>
      <c r="E10" s="85"/>
    </row>
    <row r="11" spans="2:7" ht="18" customHeight="1" x14ac:dyDescent="0.2">
      <c r="B11" s="84" t="s">
        <v>6</v>
      </c>
      <c r="C11" s="84"/>
      <c r="D11" s="85" t="s">
        <v>7</v>
      </c>
      <c r="E11" s="85"/>
    </row>
    <row r="12" spans="2:7" ht="18" customHeight="1" x14ac:dyDescent="0.2">
      <c r="B12" s="84" t="s">
        <v>8</v>
      </c>
      <c r="C12" s="84"/>
      <c r="D12" s="86" t="s">
        <v>9</v>
      </c>
      <c r="E12" s="86"/>
    </row>
    <row r="15" spans="2:7" ht="15.75" customHeight="1" x14ac:dyDescent="0.2">
      <c r="B15" s="123"/>
      <c r="C15" s="123"/>
      <c r="D15" s="123"/>
      <c r="E15" s="123"/>
      <c r="F15" s="122"/>
      <c r="G15" s="122"/>
    </row>
    <row r="16" spans="2:7" ht="15.75" customHeight="1" x14ac:dyDescent="0.2">
      <c r="B16" s="124"/>
      <c r="C16" s="124"/>
      <c r="D16" s="125"/>
      <c r="E16" s="125"/>
      <c r="F16" s="122"/>
      <c r="G16" s="122"/>
    </row>
    <row r="17" spans="2:7" ht="15.75" customHeight="1" x14ac:dyDescent="0.2">
      <c r="B17" s="126"/>
      <c r="C17" s="126"/>
      <c r="D17" s="125"/>
      <c r="E17" s="125"/>
      <c r="F17" s="122"/>
      <c r="G17" s="122"/>
    </row>
    <row r="18" spans="2:7" ht="15.75" customHeight="1" x14ac:dyDescent="0.2">
      <c r="B18" s="127"/>
      <c r="C18" s="127"/>
      <c r="D18" s="125"/>
      <c r="E18" s="125"/>
      <c r="F18" s="122"/>
      <c r="G18" s="122"/>
    </row>
    <row r="19" spans="2:7" ht="15.75" customHeight="1" x14ac:dyDescent="0.2">
      <c r="B19" s="128"/>
      <c r="C19" s="128"/>
      <c r="D19" s="125"/>
      <c r="E19" s="125"/>
      <c r="F19" s="122"/>
      <c r="G19" s="122"/>
    </row>
    <row r="20" spans="2:7" ht="15.75" customHeight="1" x14ac:dyDescent="0.2">
      <c r="B20" s="126"/>
      <c r="C20" s="126"/>
      <c r="D20" s="125"/>
      <c r="E20" s="125"/>
      <c r="F20" s="122"/>
      <c r="G20" s="122"/>
    </row>
    <row r="21" spans="2:7" x14ac:dyDescent="0.2">
      <c r="F21" s="129" t="s">
        <v>328</v>
      </c>
    </row>
  </sheetData>
  <mergeCells count="28">
    <mergeCell ref="B2:E2"/>
    <mergeCell ref="B3:E3"/>
    <mergeCell ref="B4:E4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D47"/>
  <sheetViews>
    <sheetView showGridLines="0" zoomScaleNormal="100" workbookViewId="0">
      <selection activeCell="N36" sqref="N36"/>
    </sheetView>
  </sheetViews>
  <sheetFormatPr baseColWidth="10" defaultColWidth="8.6640625" defaultRowHeight="15" x14ac:dyDescent="0.2"/>
  <cols>
    <col min="1" max="1" width="4" customWidth="1"/>
    <col min="2" max="2" width="38" customWidth="1"/>
    <col min="3" max="3" width="18" customWidth="1"/>
    <col min="4" max="4" width="36" customWidth="1"/>
  </cols>
  <sheetData>
    <row r="1" spans="2:4" ht="25.5" customHeight="1" x14ac:dyDescent="0.2">
      <c r="B1" s="96" t="s">
        <v>10</v>
      </c>
      <c r="C1" s="96"/>
      <c r="D1" s="96"/>
    </row>
    <row r="2" spans="2:4" ht="15.75" customHeight="1" x14ac:dyDescent="0.2">
      <c r="B2" s="76" t="s">
        <v>11</v>
      </c>
      <c r="C2" s="76" t="s">
        <v>12</v>
      </c>
      <c r="D2" s="76" t="s">
        <v>13</v>
      </c>
    </row>
    <row r="3" spans="2:4" ht="15.75" customHeight="1" x14ac:dyDescent="0.2">
      <c r="B3" s="95" t="s">
        <v>14</v>
      </c>
      <c r="C3" s="95"/>
      <c r="D3" s="95"/>
    </row>
    <row r="4" spans="2:4" ht="15" customHeight="1" x14ac:dyDescent="0.2">
      <c r="B4" s="2" t="s">
        <v>15</v>
      </c>
      <c r="C4" s="3">
        <v>750000</v>
      </c>
      <c r="D4" s="4" t="s">
        <v>16</v>
      </c>
    </row>
    <row r="5" spans="2:4" ht="15" customHeight="1" x14ac:dyDescent="0.2">
      <c r="B5" s="5" t="s">
        <v>17</v>
      </c>
      <c r="C5" s="6">
        <f>C4*0.055</f>
        <v>41250</v>
      </c>
      <c r="D5" s="4" t="s">
        <v>18</v>
      </c>
    </row>
    <row r="6" spans="2:4" ht="15" customHeight="1" x14ac:dyDescent="0.2">
      <c r="B6" s="2" t="s">
        <v>19</v>
      </c>
      <c r="C6" s="7">
        <v>2500</v>
      </c>
      <c r="D6" s="4" t="s">
        <v>20</v>
      </c>
    </row>
    <row r="7" spans="2:4" ht="15" customHeight="1" x14ac:dyDescent="0.2">
      <c r="B7" s="5" t="s">
        <v>21</v>
      </c>
      <c r="C7" s="7">
        <v>600</v>
      </c>
      <c r="D7" s="4" t="s">
        <v>22</v>
      </c>
    </row>
    <row r="8" spans="2:4" ht="15" customHeight="1" x14ac:dyDescent="0.2">
      <c r="B8" s="2" t="s">
        <v>23</v>
      </c>
      <c r="C8" s="8">
        <f>C4+C5+C6+C7</f>
        <v>794350</v>
      </c>
      <c r="D8" s="4" t="s">
        <v>24</v>
      </c>
    </row>
    <row r="9" spans="2:4" ht="15" customHeight="1" x14ac:dyDescent="0.2">
      <c r="B9" s="5" t="s">
        <v>25</v>
      </c>
      <c r="C9" s="9">
        <v>0.8</v>
      </c>
      <c r="D9" s="4" t="s">
        <v>26</v>
      </c>
    </row>
    <row r="10" spans="2:4" ht="15" customHeight="1" x14ac:dyDescent="0.2">
      <c r="B10" s="2" t="s">
        <v>27</v>
      </c>
      <c r="C10" s="8">
        <f>C4*(1-C9)</f>
        <v>149999.99999999997</v>
      </c>
      <c r="D10" s="4" t="s">
        <v>28</v>
      </c>
    </row>
    <row r="11" spans="2:4" ht="15" customHeight="1" x14ac:dyDescent="0.2">
      <c r="B11" s="5" t="s">
        <v>29</v>
      </c>
      <c r="C11" s="6">
        <f>C4*C9</f>
        <v>600000</v>
      </c>
      <c r="D11" s="4" t="s">
        <v>30</v>
      </c>
    </row>
    <row r="12" spans="2:4" ht="15" customHeight="1" x14ac:dyDescent="0.2">
      <c r="B12" s="2" t="s">
        <v>31</v>
      </c>
      <c r="C12" s="9">
        <v>6.5000000000000002E-2</v>
      </c>
      <c r="D12" s="4" t="s">
        <v>32</v>
      </c>
    </row>
    <row r="13" spans="2:4" ht="15" customHeight="1" x14ac:dyDescent="0.2">
      <c r="B13" s="5" t="s">
        <v>33</v>
      </c>
      <c r="C13" s="10">
        <v>5</v>
      </c>
      <c r="D13" s="4" t="s">
        <v>34</v>
      </c>
    </row>
    <row r="14" spans="2:4" ht="15" customHeight="1" x14ac:dyDescent="0.2">
      <c r="B14" s="2" t="s">
        <v>35</v>
      </c>
      <c r="C14" s="11">
        <v>10</v>
      </c>
      <c r="D14" s="4" t="s">
        <v>36</v>
      </c>
    </row>
    <row r="15" spans="2:4" ht="15" customHeight="1" x14ac:dyDescent="0.2">
      <c r="B15" s="5" t="s">
        <v>37</v>
      </c>
      <c r="C15" s="12">
        <v>2025</v>
      </c>
      <c r="D15" s="4" t="s">
        <v>38</v>
      </c>
    </row>
    <row r="17" spans="2:4" ht="15.75" customHeight="1" x14ac:dyDescent="0.2">
      <c r="B17" s="95" t="s">
        <v>39</v>
      </c>
      <c r="C17" s="95"/>
      <c r="D17" s="95"/>
    </row>
    <row r="18" spans="2:4" ht="15" customHeight="1" x14ac:dyDescent="0.2">
      <c r="B18" s="5" t="s">
        <v>40</v>
      </c>
      <c r="C18" s="3">
        <v>700</v>
      </c>
      <c r="D18" s="4" t="s">
        <v>41</v>
      </c>
    </row>
    <row r="19" spans="2:4" ht="15" customHeight="1" x14ac:dyDescent="0.2">
      <c r="B19" s="2" t="s">
        <v>42</v>
      </c>
      <c r="C19" s="8">
        <f>C18*52</f>
        <v>36400</v>
      </c>
      <c r="D19" s="4" t="s">
        <v>43</v>
      </c>
    </row>
    <row r="20" spans="2:4" ht="15" customHeight="1" x14ac:dyDescent="0.2">
      <c r="B20" s="5" t="s">
        <v>44</v>
      </c>
      <c r="C20" s="9">
        <v>0.02</v>
      </c>
      <c r="D20" s="4" t="s">
        <v>45</v>
      </c>
    </row>
    <row r="21" spans="2:4" ht="15" customHeight="1" x14ac:dyDescent="0.2">
      <c r="B21" s="2" t="s">
        <v>46</v>
      </c>
      <c r="C21" s="8">
        <f>C19*(1-C20)</f>
        <v>35672</v>
      </c>
      <c r="D21" s="4" t="s">
        <v>47</v>
      </c>
    </row>
    <row r="22" spans="2:4" ht="15" customHeight="1" x14ac:dyDescent="0.2">
      <c r="B22" s="5" t="s">
        <v>48</v>
      </c>
      <c r="C22" s="9">
        <v>0.04</v>
      </c>
      <c r="D22" s="4" t="s">
        <v>49</v>
      </c>
    </row>
    <row r="24" spans="2:4" ht="15.75" customHeight="1" x14ac:dyDescent="0.2">
      <c r="B24" s="95" t="s">
        <v>50</v>
      </c>
      <c r="C24" s="95"/>
      <c r="D24" s="95"/>
    </row>
    <row r="25" spans="2:4" ht="15" customHeight="1" x14ac:dyDescent="0.2">
      <c r="B25" s="5" t="s">
        <v>51</v>
      </c>
      <c r="C25" s="7">
        <v>1800</v>
      </c>
      <c r="D25" s="4" t="s">
        <v>52</v>
      </c>
    </row>
    <row r="26" spans="2:4" ht="15" customHeight="1" x14ac:dyDescent="0.2">
      <c r="B26" s="2" t="s">
        <v>53</v>
      </c>
      <c r="C26" s="7">
        <v>1200</v>
      </c>
      <c r="D26" s="4" t="s">
        <v>54</v>
      </c>
    </row>
    <row r="27" spans="2:4" ht="15" customHeight="1" x14ac:dyDescent="0.2">
      <c r="B27" s="5" t="s">
        <v>55</v>
      </c>
      <c r="C27" s="7">
        <v>1500</v>
      </c>
      <c r="D27" s="4" t="s">
        <v>56</v>
      </c>
    </row>
    <row r="28" spans="2:4" ht="15" customHeight="1" x14ac:dyDescent="0.2">
      <c r="B28" s="2" t="s">
        <v>57</v>
      </c>
      <c r="C28" s="9">
        <v>0.08</v>
      </c>
      <c r="D28" s="4" t="s">
        <v>58</v>
      </c>
    </row>
    <row r="29" spans="2:4" ht="15" customHeight="1" x14ac:dyDescent="0.2">
      <c r="B29" s="5" t="s">
        <v>59</v>
      </c>
      <c r="C29" s="7">
        <v>3000</v>
      </c>
      <c r="D29" s="4" t="s">
        <v>60</v>
      </c>
    </row>
    <row r="30" spans="2:4" ht="15" customHeight="1" x14ac:dyDescent="0.2">
      <c r="B30" s="2" t="s">
        <v>61</v>
      </c>
      <c r="C30" s="7">
        <v>500</v>
      </c>
      <c r="D30" s="4" t="s">
        <v>62</v>
      </c>
    </row>
    <row r="31" spans="2:4" ht="15" customHeight="1" x14ac:dyDescent="0.2">
      <c r="B31" s="5" t="s">
        <v>63</v>
      </c>
      <c r="C31" s="7">
        <v>1200</v>
      </c>
      <c r="D31" s="4" t="s">
        <v>64</v>
      </c>
    </row>
    <row r="32" spans="2:4" ht="15" customHeight="1" x14ac:dyDescent="0.2">
      <c r="B32" s="2" t="s">
        <v>65</v>
      </c>
      <c r="C32" s="7">
        <v>4500</v>
      </c>
      <c r="D32" s="4" t="s">
        <v>66</v>
      </c>
    </row>
    <row r="33" spans="2:4" ht="15" customHeight="1" x14ac:dyDescent="0.2">
      <c r="B33" s="5" t="s">
        <v>67</v>
      </c>
      <c r="C33" s="9">
        <v>0.03</v>
      </c>
      <c r="D33" s="4" t="s">
        <v>68</v>
      </c>
    </row>
    <row r="35" spans="2:4" ht="15.75" customHeight="1" x14ac:dyDescent="0.2">
      <c r="B35" s="95" t="s">
        <v>69</v>
      </c>
      <c r="C35" s="95"/>
      <c r="D35" s="95"/>
    </row>
    <row r="36" spans="2:4" ht="15" customHeight="1" x14ac:dyDescent="0.2">
      <c r="B36" s="5" t="s">
        <v>70</v>
      </c>
      <c r="C36" s="9">
        <v>0.04</v>
      </c>
      <c r="D36" s="4" t="s">
        <v>71</v>
      </c>
    </row>
    <row r="37" spans="2:4" ht="15" customHeight="1" x14ac:dyDescent="0.2">
      <c r="B37" s="2" t="s">
        <v>72</v>
      </c>
      <c r="C37" s="13">
        <v>2.1999999999999999E-2</v>
      </c>
      <c r="D37" s="4" t="s">
        <v>73</v>
      </c>
    </row>
    <row r="38" spans="2:4" ht="15" customHeight="1" x14ac:dyDescent="0.2">
      <c r="B38" s="5" t="s">
        <v>74</v>
      </c>
      <c r="C38" s="7">
        <v>2000</v>
      </c>
      <c r="D38" s="4" t="s">
        <v>75</v>
      </c>
    </row>
    <row r="39" spans="2:4" ht="15" customHeight="1" x14ac:dyDescent="0.2">
      <c r="B39" s="2" t="s">
        <v>76</v>
      </c>
      <c r="C39" s="12" t="s">
        <v>77</v>
      </c>
      <c r="D39" s="4" t="s">
        <v>78</v>
      </c>
    </row>
    <row r="40" spans="2:4" ht="15" customHeight="1" x14ac:dyDescent="0.2">
      <c r="B40" s="5" t="s">
        <v>79</v>
      </c>
      <c r="C40" s="9">
        <v>0.37</v>
      </c>
      <c r="D40" s="4" t="s">
        <v>80</v>
      </c>
    </row>
    <row r="42" spans="2:4" ht="15.75" customHeight="1" x14ac:dyDescent="0.2">
      <c r="B42" s="95" t="s">
        <v>81</v>
      </c>
      <c r="C42" s="95"/>
      <c r="D42" s="95"/>
    </row>
    <row r="43" spans="2:4" ht="15" customHeight="1" x14ac:dyDescent="0.2">
      <c r="B43" s="5" t="s">
        <v>82</v>
      </c>
      <c r="C43" s="13">
        <v>4.4999999999999998E-2</v>
      </c>
      <c r="D43" s="4" t="s">
        <v>83</v>
      </c>
    </row>
    <row r="44" spans="2:4" ht="15" customHeight="1" x14ac:dyDescent="0.2">
      <c r="B44" s="2" t="s">
        <v>84</v>
      </c>
      <c r="C44" s="13">
        <v>3.5000000000000003E-2</v>
      </c>
      <c r="D44" s="4" t="s">
        <v>85</v>
      </c>
    </row>
    <row r="45" spans="2:4" ht="15" customHeight="1" x14ac:dyDescent="0.2">
      <c r="B45" s="5" t="s">
        <v>86</v>
      </c>
      <c r="C45" s="13">
        <v>0.01</v>
      </c>
      <c r="D45" s="4" t="s">
        <v>87</v>
      </c>
    </row>
    <row r="46" spans="2:4" ht="15" customHeight="1" x14ac:dyDescent="0.2">
      <c r="B46" s="2" t="s">
        <v>88</v>
      </c>
      <c r="C46" s="14">
        <f>C43+C44+C45</f>
        <v>0.09</v>
      </c>
      <c r="D46" s="4" t="s">
        <v>89</v>
      </c>
    </row>
    <row r="47" spans="2:4" ht="15" customHeight="1" x14ac:dyDescent="0.2">
      <c r="B47" s="5" t="s">
        <v>90</v>
      </c>
      <c r="C47" s="9">
        <v>0.08</v>
      </c>
      <c r="D47" s="4" t="s">
        <v>91</v>
      </c>
    </row>
  </sheetData>
  <mergeCells count="6">
    <mergeCell ref="B42:D42"/>
    <mergeCell ref="B1:D1"/>
    <mergeCell ref="B3:D3"/>
    <mergeCell ref="B17:D17"/>
    <mergeCell ref="B24:D24"/>
    <mergeCell ref="B35:D3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FA3"/>
  </sheetPr>
  <dimension ref="B1:O27"/>
  <sheetViews>
    <sheetView showGridLines="0" zoomScaleNormal="100" workbookViewId="0">
      <selection activeCell="Q25" sqref="Q25"/>
    </sheetView>
  </sheetViews>
  <sheetFormatPr baseColWidth="10" defaultColWidth="8.6640625" defaultRowHeight="15" x14ac:dyDescent="0.2"/>
  <cols>
    <col min="1" max="1" width="3" customWidth="1"/>
    <col min="2" max="2" width="36" customWidth="1"/>
    <col min="3" max="13" width="13" customWidth="1"/>
  </cols>
  <sheetData>
    <row r="1" spans="2:15" ht="25.5" customHeight="1" x14ac:dyDescent="0.2">
      <c r="B1" s="97" t="s">
        <v>92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2:15" ht="15.75" customHeight="1" x14ac:dyDescent="0.2">
      <c r="B2" s="74" t="s">
        <v>93</v>
      </c>
      <c r="C2" s="77">
        <f>Assumptions!C15+0</f>
        <v>2025</v>
      </c>
      <c r="D2" s="77">
        <f>Assumptions!C15+1</f>
        <v>2026</v>
      </c>
      <c r="E2" s="77">
        <f>Assumptions!C15+2</f>
        <v>2027</v>
      </c>
      <c r="F2" s="77">
        <f>Assumptions!C15+3</f>
        <v>2028</v>
      </c>
      <c r="G2" s="77">
        <f>Assumptions!C15+4</f>
        <v>2029</v>
      </c>
      <c r="H2" s="77">
        <f>Assumptions!C15+5</f>
        <v>2030</v>
      </c>
      <c r="I2" s="77">
        <f>Assumptions!C15+6</f>
        <v>2031</v>
      </c>
      <c r="J2" s="77">
        <f>Assumptions!C15+7</f>
        <v>2032</v>
      </c>
      <c r="K2" s="77">
        <f>Assumptions!C15+8</f>
        <v>2033</v>
      </c>
      <c r="L2" s="77">
        <f>Assumptions!C15+9</f>
        <v>2034</v>
      </c>
    </row>
    <row r="3" spans="2:15" ht="15.75" customHeight="1" x14ac:dyDescent="0.2">
      <c r="B3" s="98" t="s">
        <v>94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</row>
    <row r="4" spans="2:15" ht="15" customHeight="1" x14ac:dyDescent="0.2">
      <c r="B4" s="15" t="s">
        <v>95</v>
      </c>
      <c r="C4" s="16">
        <f>Assumptions!C19*(1+Assumptions!C22)^1</f>
        <v>37856</v>
      </c>
      <c r="D4" s="16">
        <f>C4*(1+Assumptions!$C$22)</f>
        <v>39370.239999999998</v>
      </c>
      <c r="E4" s="16">
        <f>D4*(1+Assumptions!$C$22)</f>
        <v>40945.049599999998</v>
      </c>
      <c r="F4" s="16">
        <f>E4*(1+Assumptions!$C$22)</f>
        <v>42582.851583999996</v>
      </c>
      <c r="G4" s="16">
        <f>F4*(1+Assumptions!$C$22)</f>
        <v>44286.165647359994</v>
      </c>
      <c r="H4" s="16">
        <f>G4*(1+Assumptions!$C$22)</f>
        <v>46057.612273254395</v>
      </c>
      <c r="I4" s="16">
        <f>H4*(1+Assumptions!$C$22)</f>
        <v>47899.916764184571</v>
      </c>
      <c r="J4" s="16">
        <f>I4*(1+Assumptions!$C$22)</f>
        <v>49815.913434751958</v>
      </c>
      <c r="K4" s="16">
        <f>J4*(1+Assumptions!$C$22)</f>
        <v>51808.549972142035</v>
      </c>
      <c r="L4" s="16">
        <f>K4*(1+Assumptions!$C$22)</f>
        <v>53880.891971027719</v>
      </c>
    </row>
    <row r="5" spans="2:15" ht="15" customHeight="1" x14ac:dyDescent="0.2">
      <c r="B5" s="2" t="s">
        <v>96</v>
      </c>
      <c r="C5" s="8">
        <f>-C4*Assumptions!$C$20</f>
        <v>-757.12</v>
      </c>
      <c r="D5" s="8">
        <f>-D4*Assumptions!$C$20</f>
        <v>-787.40480000000002</v>
      </c>
      <c r="E5" s="8">
        <f>-E4*Assumptions!$C$20</f>
        <v>-818.90099199999997</v>
      </c>
      <c r="F5" s="8">
        <f>-F4*Assumptions!$C$20</f>
        <v>-851.65703167999993</v>
      </c>
      <c r="G5" s="8">
        <f>-G4*Assumptions!$C$20</f>
        <v>-885.72331294719993</v>
      </c>
      <c r="H5" s="8">
        <f>-H4*Assumptions!$C$20</f>
        <v>-921.15224546508796</v>
      </c>
      <c r="I5" s="8">
        <f>-I4*Assumptions!$C$20</f>
        <v>-957.9983352836914</v>
      </c>
      <c r="J5" s="8">
        <f>-J4*Assumptions!$C$20</f>
        <v>-996.31826869503914</v>
      </c>
      <c r="K5" s="8">
        <f>-K4*Assumptions!$C$20</f>
        <v>-1036.1709994428406</v>
      </c>
      <c r="L5" s="8">
        <f>-L4*Assumptions!$C$20</f>
        <v>-1077.6178394205544</v>
      </c>
    </row>
    <row r="6" spans="2:15" ht="15" customHeight="1" x14ac:dyDescent="0.2">
      <c r="B6" s="15" t="s">
        <v>97</v>
      </c>
      <c r="C6" s="16">
        <f t="shared" ref="C6:L6" si="0">C4+C5</f>
        <v>37098.879999999997</v>
      </c>
      <c r="D6" s="16">
        <f t="shared" si="0"/>
        <v>38582.835200000001</v>
      </c>
      <c r="E6" s="16">
        <f t="shared" si="0"/>
        <v>40126.148607999996</v>
      </c>
      <c r="F6" s="16">
        <f t="shared" si="0"/>
        <v>41731.194552319997</v>
      </c>
      <c r="G6" s="16">
        <f t="shared" si="0"/>
        <v>43400.442334412794</v>
      </c>
      <c r="H6" s="16">
        <f t="shared" si="0"/>
        <v>45136.460027789304</v>
      </c>
      <c r="I6" s="16">
        <f t="shared" si="0"/>
        <v>46941.918428900877</v>
      </c>
      <c r="J6" s="16">
        <f t="shared" si="0"/>
        <v>48819.595166056919</v>
      </c>
      <c r="K6" s="16">
        <f t="shared" si="0"/>
        <v>50772.378972699196</v>
      </c>
      <c r="L6" s="16">
        <f t="shared" si="0"/>
        <v>52803.274131607162</v>
      </c>
    </row>
    <row r="8" spans="2:15" ht="15.75" customHeight="1" x14ac:dyDescent="0.2">
      <c r="B8" s="98" t="s">
        <v>98</v>
      </c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</row>
    <row r="9" spans="2:15" ht="15" customHeight="1" x14ac:dyDescent="0.2">
      <c r="B9" s="5" t="s">
        <v>51</v>
      </c>
      <c r="C9" s="6">
        <f>-Assumptions!C25</f>
        <v>-1800</v>
      </c>
      <c r="D9" s="6">
        <f>C9*(1+Assumptions!$C$33)</f>
        <v>-1854</v>
      </c>
      <c r="E9" s="6">
        <f>D9*(1+Assumptions!$C$33)</f>
        <v>-1909.6200000000001</v>
      </c>
      <c r="F9" s="6">
        <f>E9*(1+Assumptions!$C$33)</f>
        <v>-1966.9086000000002</v>
      </c>
      <c r="G9" s="6">
        <f>F9*(1+Assumptions!$C$33)</f>
        <v>-2025.9158580000003</v>
      </c>
      <c r="H9" s="6">
        <f>G9*(1+Assumptions!$C$33)</f>
        <v>-2086.6933337400005</v>
      </c>
      <c r="I9" s="6">
        <f>H9*(1+Assumptions!$C$33)</f>
        <v>-2149.2941337522007</v>
      </c>
      <c r="J9" s="6">
        <f>I9*(1+Assumptions!$C$33)</f>
        <v>-2213.7729577647669</v>
      </c>
      <c r="K9" s="6">
        <f>J9*(1+Assumptions!$C$33)</f>
        <v>-2280.1861464977101</v>
      </c>
      <c r="L9" s="6">
        <f>K9*(1+Assumptions!$C$33)</f>
        <v>-2348.5917308926414</v>
      </c>
      <c r="O9" s="73"/>
    </row>
    <row r="10" spans="2:15" ht="15" customHeight="1" x14ac:dyDescent="0.2">
      <c r="B10" s="2" t="s">
        <v>53</v>
      </c>
      <c r="C10" s="8">
        <f>-Assumptions!C26</f>
        <v>-1200</v>
      </c>
      <c r="D10" s="8">
        <f>C10*(1+Assumptions!$C$33)</f>
        <v>-1236</v>
      </c>
      <c r="E10" s="8">
        <f>D10*(1+Assumptions!$C$33)</f>
        <v>-1273.08</v>
      </c>
      <c r="F10" s="8">
        <f>E10*(1+Assumptions!$C$33)</f>
        <v>-1311.2724000000001</v>
      </c>
      <c r="G10" s="8">
        <f>F10*(1+Assumptions!$C$33)</f>
        <v>-1350.610572</v>
      </c>
      <c r="H10" s="8">
        <f>G10*(1+Assumptions!$C$33)</f>
        <v>-1391.12888916</v>
      </c>
      <c r="I10" s="8">
        <f>H10*(1+Assumptions!$C$33)</f>
        <v>-1432.8627558348001</v>
      </c>
      <c r="J10" s="8">
        <f>I10*(1+Assumptions!$C$33)</f>
        <v>-1475.848638509844</v>
      </c>
      <c r="K10" s="8">
        <f>J10*(1+Assumptions!$C$33)</f>
        <v>-1520.1240976651393</v>
      </c>
      <c r="L10" s="8">
        <f>K10*(1+Assumptions!$C$33)</f>
        <v>-1565.7278205950936</v>
      </c>
    </row>
    <row r="11" spans="2:15" ht="15" customHeight="1" x14ac:dyDescent="0.2">
      <c r="B11" s="5" t="s">
        <v>55</v>
      </c>
      <c r="C11" s="6">
        <f>-Assumptions!C27</f>
        <v>-1500</v>
      </c>
      <c r="D11" s="6">
        <f>C11*(1+Assumptions!$C$33)</f>
        <v>-1545</v>
      </c>
      <c r="E11" s="6">
        <f>D11*(1+Assumptions!$C$33)</f>
        <v>-1591.3500000000001</v>
      </c>
      <c r="F11" s="6">
        <f>E11*(1+Assumptions!$C$33)</f>
        <v>-1639.0905000000002</v>
      </c>
      <c r="G11" s="6">
        <f>F11*(1+Assumptions!$C$33)</f>
        <v>-1688.2632150000004</v>
      </c>
      <c r="H11" s="6">
        <f>G11*(1+Assumptions!$C$33)</f>
        <v>-1738.9111114500004</v>
      </c>
      <c r="I11" s="6">
        <f>H11*(1+Assumptions!$C$33)</f>
        <v>-1791.0784447935005</v>
      </c>
      <c r="J11" s="6">
        <f>I11*(1+Assumptions!$C$33)</f>
        <v>-1844.8107981373055</v>
      </c>
      <c r="K11" s="6">
        <f>J11*(1+Assumptions!$C$33)</f>
        <v>-1900.1551220814247</v>
      </c>
      <c r="L11" s="6">
        <f>K11*(1+Assumptions!$C$33)</f>
        <v>-1957.1597757438674</v>
      </c>
    </row>
    <row r="12" spans="2:15" ht="15" customHeight="1" x14ac:dyDescent="0.2">
      <c r="B12" s="2" t="s">
        <v>99</v>
      </c>
      <c r="C12" s="8">
        <f>-C6*Assumptions!$C$28</f>
        <v>-2967.9103999999998</v>
      </c>
      <c r="D12" s="8">
        <f>-D6*Assumptions!$C$28</f>
        <v>-3086.626816</v>
      </c>
      <c r="E12" s="8">
        <f>-E6*Assumptions!$C$28</f>
        <v>-3210.0918886399995</v>
      </c>
      <c r="F12" s="8">
        <f>-F6*Assumptions!$C$28</f>
        <v>-3338.4955641856</v>
      </c>
      <c r="G12" s="8">
        <f>-G6*Assumptions!$C$28</f>
        <v>-3472.0353867530234</v>
      </c>
      <c r="H12" s="8">
        <f>-H6*Assumptions!$C$28</f>
        <v>-3610.9168022231443</v>
      </c>
      <c r="I12" s="8">
        <f>-I6*Assumptions!$C$28</f>
        <v>-3755.3534743120704</v>
      </c>
      <c r="J12" s="8">
        <f>-J6*Assumptions!$C$28</f>
        <v>-3905.5676132845538</v>
      </c>
      <c r="K12" s="8">
        <f>-K6*Assumptions!$C$28</f>
        <v>-4061.7903178159359</v>
      </c>
      <c r="L12" s="8">
        <f>-L6*Assumptions!$C$28</f>
        <v>-4224.2619305285734</v>
      </c>
    </row>
    <row r="13" spans="2:15" ht="15" customHeight="1" x14ac:dyDescent="0.2">
      <c r="B13" s="5" t="s">
        <v>59</v>
      </c>
      <c r="C13" s="6">
        <f>-Assumptions!C29</f>
        <v>-3000</v>
      </c>
      <c r="D13" s="6">
        <f>C13*(1+Assumptions!$C$33)</f>
        <v>-3090</v>
      </c>
      <c r="E13" s="6">
        <f>D13*(1+Assumptions!$C$33)</f>
        <v>-3182.7000000000003</v>
      </c>
      <c r="F13" s="6">
        <f>E13*(1+Assumptions!$C$33)</f>
        <v>-3278.1810000000005</v>
      </c>
      <c r="G13" s="6">
        <f>F13*(1+Assumptions!$C$33)</f>
        <v>-3376.5264300000008</v>
      </c>
      <c r="H13" s="6">
        <f>G13*(1+Assumptions!$C$33)</f>
        <v>-3477.8222229000007</v>
      </c>
      <c r="I13" s="6">
        <f>H13*(1+Assumptions!$C$33)</f>
        <v>-3582.1568895870009</v>
      </c>
      <c r="J13" s="6">
        <f>I13*(1+Assumptions!$C$33)</f>
        <v>-3689.621596274611</v>
      </c>
      <c r="K13" s="6">
        <f>J13*(1+Assumptions!$C$33)</f>
        <v>-3800.3102441628494</v>
      </c>
      <c r="L13" s="6">
        <f>K13*(1+Assumptions!$C$33)</f>
        <v>-3914.3195514877348</v>
      </c>
    </row>
    <row r="14" spans="2:15" ht="15" customHeight="1" x14ac:dyDescent="0.2">
      <c r="B14" s="2" t="s">
        <v>21</v>
      </c>
      <c r="C14" s="8">
        <f>-Assumptions!C30</f>
        <v>-500</v>
      </c>
      <c r="D14" s="8">
        <f>C14*(1+Assumptions!$C$33)</f>
        <v>-515</v>
      </c>
      <c r="E14" s="8">
        <f>D14*(1+Assumptions!$C$33)</f>
        <v>-530.45000000000005</v>
      </c>
      <c r="F14" s="8">
        <f>E14*(1+Assumptions!$C$33)</f>
        <v>-546.36350000000004</v>
      </c>
      <c r="G14" s="8">
        <f>F14*(1+Assumptions!$C$33)</f>
        <v>-562.75440500000002</v>
      </c>
      <c r="H14" s="8">
        <f>G14*(1+Assumptions!$C$33)</f>
        <v>-579.63703715000008</v>
      </c>
      <c r="I14" s="8">
        <f>H14*(1+Assumptions!$C$33)</f>
        <v>-597.02614826450008</v>
      </c>
      <c r="J14" s="8">
        <f>I14*(1+Assumptions!$C$33)</f>
        <v>-614.93693271243512</v>
      </c>
      <c r="K14" s="8">
        <f>J14*(1+Assumptions!$C$33)</f>
        <v>-633.38504069380815</v>
      </c>
      <c r="L14" s="8">
        <f>K14*(1+Assumptions!$C$33)</f>
        <v>-652.38659191462239</v>
      </c>
    </row>
    <row r="15" spans="2:15" ht="15" customHeight="1" x14ac:dyDescent="0.2">
      <c r="B15" s="5" t="s">
        <v>63</v>
      </c>
      <c r="C15" s="6">
        <f>-Assumptions!C31</f>
        <v>-1200</v>
      </c>
      <c r="D15" s="6">
        <f>C15*(1+Assumptions!$C$33)</f>
        <v>-1236</v>
      </c>
      <c r="E15" s="6">
        <f>D15*(1+Assumptions!$C$33)</f>
        <v>-1273.08</v>
      </c>
      <c r="F15" s="6">
        <f>E15*(1+Assumptions!$C$33)</f>
        <v>-1311.2724000000001</v>
      </c>
      <c r="G15" s="6">
        <f>F15*(1+Assumptions!$C$33)</f>
        <v>-1350.610572</v>
      </c>
      <c r="H15" s="6">
        <f>G15*(1+Assumptions!$C$33)</f>
        <v>-1391.12888916</v>
      </c>
      <c r="I15" s="6">
        <f>H15*(1+Assumptions!$C$33)</f>
        <v>-1432.8627558348001</v>
      </c>
      <c r="J15" s="6">
        <f>I15*(1+Assumptions!$C$33)</f>
        <v>-1475.848638509844</v>
      </c>
      <c r="K15" s="6">
        <f>J15*(1+Assumptions!$C$33)</f>
        <v>-1520.1240976651393</v>
      </c>
      <c r="L15" s="6">
        <f>K15*(1+Assumptions!$C$33)</f>
        <v>-1565.7278205950936</v>
      </c>
    </row>
    <row r="16" spans="2:15" ht="15" customHeight="1" x14ac:dyDescent="0.2">
      <c r="B16" s="2" t="s">
        <v>100</v>
      </c>
      <c r="C16" s="8">
        <f>-Assumptions!C13*Assumptions!$C$12</f>
        <v>-0.32500000000000001</v>
      </c>
      <c r="D16" s="8">
        <f>-Assumptions!C13*Assumptions!$C$12</f>
        <v>-0.32500000000000001</v>
      </c>
      <c r="E16" s="8">
        <f>-Assumptions!C13*Assumptions!$C$12</f>
        <v>-0.32500000000000001</v>
      </c>
      <c r="F16" s="8">
        <f>-Assumptions!C13*Assumptions!$C$12</f>
        <v>-0.32500000000000001</v>
      </c>
      <c r="G16" s="8">
        <f>-Assumptions!C13*Assumptions!$C$12</f>
        <v>-0.32500000000000001</v>
      </c>
      <c r="H16" s="8">
        <f>-Assumptions!C13*Assumptions!$C$12</f>
        <v>-0.32500000000000001</v>
      </c>
      <c r="I16" s="8">
        <f>-Assumptions!C13*Assumptions!$C$12</f>
        <v>-0.32500000000000001</v>
      </c>
      <c r="J16" s="8">
        <f>-Assumptions!C13*Assumptions!$C$12</f>
        <v>-0.32500000000000001</v>
      </c>
      <c r="K16" s="8">
        <f>-Assumptions!C13*Assumptions!$C$12</f>
        <v>-0.32500000000000001</v>
      </c>
      <c r="L16" s="8">
        <f>-Assumptions!C13*Assumptions!$C$12</f>
        <v>-0.32500000000000001</v>
      </c>
    </row>
    <row r="17" spans="2:13" ht="15" customHeight="1" x14ac:dyDescent="0.2">
      <c r="B17" s="15" t="s">
        <v>101</v>
      </c>
      <c r="C17" s="16">
        <f t="shared" ref="C17:L17" si="1">SUM(C9:C16)</f>
        <v>-12168.235400000001</v>
      </c>
      <c r="D17" s="16">
        <f t="shared" si="1"/>
        <v>-12562.951816000001</v>
      </c>
      <c r="E17" s="16">
        <f t="shared" si="1"/>
        <v>-12970.696888640001</v>
      </c>
      <c r="F17" s="16">
        <f t="shared" si="1"/>
        <v>-13391.908964185601</v>
      </c>
      <c r="G17" s="16">
        <f t="shared" si="1"/>
        <v>-13827.041438753024</v>
      </c>
      <c r="H17" s="16">
        <f t="shared" si="1"/>
        <v>-14276.563285783146</v>
      </c>
      <c r="I17" s="16">
        <f t="shared" si="1"/>
        <v>-14740.959602378873</v>
      </c>
      <c r="J17" s="16">
        <f t="shared" si="1"/>
        <v>-15220.732175193361</v>
      </c>
      <c r="K17" s="16">
        <f t="shared" si="1"/>
        <v>-15716.400066582006</v>
      </c>
      <c r="L17" s="16">
        <f t="shared" si="1"/>
        <v>-16228.500221757628</v>
      </c>
    </row>
    <row r="19" spans="2:13" ht="15.75" customHeight="1" x14ac:dyDescent="0.2">
      <c r="B19" s="98" t="s">
        <v>102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</row>
    <row r="20" spans="2:13" ht="15" customHeight="1" x14ac:dyDescent="0.2">
      <c r="B20" s="15" t="s">
        <v>103</v>
      </c>
      <c r="C20" s="16">
        <f t="shared" ref="C20:L20" si="2">C6+C17</f>
        <v>24930.644599999996</v>
      </c>
      <c r="D20" s="16">
        <f t="shared" si="2"/>
        <v>26019.883384000001</v>
      </c>
      <c r="E20" s="16">
        <f t="shared" si="2"/>
        <v>27155.451719359997</v>
      </c>
      <c r="F20" s="16">
        <f t="shared" si="2"/>
        <v>28339.285588134397</v>
      </c>
      <c r="G20" s="16">
        <f t="shared" si="2"/>
        <v>29573.400895659768</v>
      </c>
      <c r="H20" s="16">
        <f t="shared" si="2"/>
        <v>30859.89674200616</v>
      </c>
      <c r="I20" s="16">
        <f t="shared" si="2"/>
        <v>32200.958826522005</v>
      </c>
      <c r="J20" s="16">
        <f t="shared" si="2"/>
        <v>33598.862990863556</v>
      </c>
      <c r="K20" s="16">
        <f t="shared" si="2"/>
        <v>35055.97890611719</v>
      </c>
      <c r="L20" s="16">
        <f t="shared" si="2"/>
        <v>36574.773909849537</v>
      </c>
    </row>
    <row r="21" spans="2:13" ht="15" customHeight="1" x14ac:dyDescent="0.2">
      <c r="B21" s="2" t="s">
        <v>104</v>
      </c>
      <c r="C21" s="8">
        <f>Assumptions!C32*Assumptions!$C$36</f>
        <v>180</v>
      </c>
      <c r="D21" s="8">
        <f>Assumptions!C32*Assumptions!$C$36</f>
        <v>180</v>
      </c>
      <c r="E21" s="8">
        <f>Assumptions!C32*Assumptions!$C$36</f>
        <v>180</v>
      </c>
      <c r="F21" s="8">
        <f>Assumptions!C32*Assumptions!$C$36</f>
        <v>180</v>
      </c>
      <c r="G21" s="8">
        <f>Assumptions!C32*Assumptions!$C$36</f>
        <v>180</v>
      </c>
      <c r="H21" s="8">
        <f>Assumptions!C32*Assumptions!$C$36</f>
        <v>180</v>
      </c>
      <c r="I21" s="8">
        <f>Assumptions!C32*Assumptions!$C$36</f>
        <v>180</v>
      </c>
      <c r="J21" s="8">
        <f>Assumptions!C32*Assumptions!$C$36</f>
        <v>180</v>
      </c>
      <c r="K21" s="8">
        <f>Assumptions!C32*Assumptions!$C$36</f>
        <v>180</v>
      </c>
      <c r="L21" s="8">
        <f>Assumptions!C32*Assumptions!$C$36</f>
        <v>180</v>
      </c>
    </row>
    <row r="22" spans="2:13" ht="15" customHeight="1" x14ac:dyDescent="0.2">
      <c r="B22" s="15" t="s">
        <v>105</v>
      </c>
      <c r="C22" s="16">
        <f t="shared" ref="C22:L22" si="3">C20+C21</f>
        <v>25110.644599999996</v>
      </c>
      <c r="D22" s="16">
        <f t="shared" si="3"/>
        <v>26199.883384000001</v>
      </c>
      <c r="E22" s="16">
        <f t="shared" si="3"/>
        <v>27335.451719359997</v>
      </c>
      <c r="F22" s="16">
        <f t="shared" si="3"/>
        <v>28519.285588134397</v>
      </c>
      <c r="G22" s="16">
        <f t="shared" si="3"/>
        <v>29753.400895659768</v>
      </c>
      <c r="H22" s="16">
        <f t="shared" si="3"/>
        <v>31039.89674200616</v>
      </c>
      <c r="I22" s="16">
        <f t="shared" si="3"/>
        <v>32380.958826522005</v>
      </c>
      <c r="J22" s="16">
        <f t="shared" si="3"/>
        <v>33778.862990863556</v>
      </c>
      <c r="K22" s="16">
        <f t="shared" si="3"/>
        <v>35235.97890611719</v>
      </c>
      <c r="L22" s="16">
        <f t="shared" si="3"/>
        <v>36754.773909849537</v>
      </c>
    </row>
    <row r="24" spans="2:13" ht="15.75" customHeight="1" x14ac:dyDescent="0.2">
      <c r="B24" s="98" t="s">
        <v>106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</row>
    <row r="25" spans="2:13" ht="15" customHeight="1" x14ac:dyDescent="0.2">
      <c r="B25" s="15" t="s">
        <v>107</v>
      </c>
      <c r="C25" s="16">
        <f>Assumptions!C4</f>
        <v>750000</v>
      </c>
      <c r="D25" s="16">
        <f>C25*(1+Assumptions!$C$36)</f>
        <v>780000</v>
      </c>
      <c r="E25" s="16">
        <f>D25*(1+Assumptions!$C$36)</f>
        <v>811200</v>
      </c>
      <c r="F25" s="16">
        <f>E25*(1+Assumptions!$C$36)</f>
        <v>843648</v>
      </c>
      <c r="G25" s="16">
        <f>F25*(1+Assumptions!$C$36)</f>
        <v>877393.92000000004</v>
      </c>
      <c r="H25" s="16">
        <f>G25*(1+Assumptions!$C$36)</f>
        <v>912489.67680000013</v>
      </c>
      <c r="I25" s="16">
        <f>H25*(1+Assumptions!$C$36)</f>
        <v>948989.26387200016</v>
      </c>
      <c r="J25" s="16">
        <f>I25*(1+Assumptions!$C$36)</f>
        <v>986948.83442688023</v>
      </c>
      <c r="K25" s="16">
        <f>J25*(1+Assumptions!$C$36)</f>
        <v>1026426.7878039555</v>
      </c>
      <c r="L25" s="16">
        <f>K25*(1+Assumptions!$C$36)</f>
        <v>1067483.8593161136</v>
      </c>
    </row>
    <row r="26" spans="2:13" ht="15" customHeight="1" x14ac:dyDescent="0.2">
      <c r="B26" s="2" t="s">
        <v>108</v>
      </c>
      <c r="C26" s="8">
        <f>C25*Assumptions!$C$36</f>
        <v>30000</v>
      </c>
      <c r="D26" s="8">
        <f>D25*Assumptions!$C$36</f>
        <v>31200</v>
      </c>
      <c r="E26" s="8">
        <f>E25*Assumptions!$C$36</f>
        <v>32448</v>
      </c>
      <c r="F26" s="8">
        <f>F25*Assumptions!$C$36</f>
        <v>33745.919999999998</v>
      </c>
      <c r="G26" s="8">
        <f>G25*Assumptions!$C$36</f>
        <v>35095.756800000003</v>
      </c>
      <c r="H26" s="8">
        <f>H25*Assumptions!$C$36</f>
        <v>36499.587072000009</v>
      </c>
      <c r="I26" s="8">
        <f>I25*Assumptions!$C$36</f>
        <v>37959.570554880011</v>
      </c>
      <c r="J26" s="8">
        <f>J25*Assumptions!$C$36</f>
        <v>39477.95337707521</v>
      </c>
      <c r="K26" s="8">
        <f>K25*Assumptions!$C$36</f>
        <v>41057.071512158218</v>
      </c>
      <c r="L26" s="8">
        <f>L25*Assumptions!$C$36</f>
        <v>42699.35437264455</v>
      </c>
    </row>
    <row r="27" spans="2:13" ht="15" customHeight="1" x14ac:dyDescent="0.2">
      <c r="B27" s="15" t="s">
        <v>109</v>
      </c>
      <c r="C27" s="16">
        <f>C25-Assumptions!$C$4</f>
        <v>0</v>
      </c>
      <c r="D27" s="16">
        <f>D25-Assumptions!$C$4</f>
        <v>30000</v>
      </c>
      <c r="E27" s="16">
        <f>E25-Assumptions!$C$4</f>
        <v>61200</v>
      </c>
      <c r="F27" s="16">
        <f>F25-Assumptions!$C$4</f>
        <v>93648</v>
      </c>
      <c r="G27" s="16">
        <f>G25-Assumptions!$C$4</f>
        <v>127393.92000000004</v>
      </c>
      <c r="H27" s="16">
        <f>H25-Assumptions!$C$4</f>
        <v>162489.67680000013</v>
      </c>
      <c r="I27" s="16">
        <f>I25-Assumptions!$C$4</f>
        <v>198989.26387200016</v>
      </c>
      <c r="J27" s="16">
        <f>J25-Assumptions!$C$4</f>
        <v>236948.83442688023</v>
      </c>
      <c r="K27" s="16">
        <f>K25-Assumptions!$C$4</f>
        <v>276426.78780395549</v>
      </c>
      <c r="L27" s="16">
        <f>L25-Assumptions!$C$4</f>
        <v>317483.85931611364</v>
      </c>
    </row>
  </sheetData>
  <mergeCells count="5">
    <mergeCell ref="B1:M1"/>
    <mergeCell ref="B3:M3"/>
    <mergeCell ref="B8:M8"/>
    <mergeCell ref="B19:M19"/>
    <mergeCell ref="B24:M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B1:M39"/>
  <sheetViews>
    <sheetView showGridLines="0" zoomScaleNormal="100" workbookViewId="0">
      <selection activeCell="F42" sqref="F42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3" width="13" customWidth="1"/>
    <col min="4" max="4" width="34.33203125" customWidth="1"/>
    <col min="5" max="13" width="13" customWidth="1"/>
    <col min="14" max="14" width="18" customWidth="1"/>
  </cols>
  <sheetData>
    <row r="1" spans="2:13" ht="25.5" customHeight="1" x14ac:dyDescent="0.2">
      <c r="B1" s="96" t="s">
        <v>110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2:13" ht="15.75" customHeight="1" x14ac:dyDescent="0.2">
      <c r="B2" s="78" t="s">
        <v>93</v>
      </c>
      <c r="C2" s="79">
        <f>Assumptions!C15+0</f>
        <v>2025</v>
      </c>
      <c r="D2" s="79">
        <f>Assumptions!C15+1</f>
        <v>2026</v>
      </c>
      <c r="E2" s="79">
        <f>Assumptions!C15+2</f>
        <v>2027</v>
      </c>
      <c r="F2" s="79">
        <f>Assumptions!C15+3</f>
        <v>2028</v>
      </c>
      <c r="G2" s="79">
        <f>Assumptions!C15+4</f>
        <v>2029</v>
      </c>
      <c r="H2" s="79">
        <f>Assumptions!C15+5</f>
        <v>2030</v>
      </c>
      <c r="I2" s="79">
        <f>Assumptions!C15+6</f>
        <v>2031</v>
      </c>
      <c r="J2" s="79">
        <f>Assumptions!C15+7</f>
        <v>2032</v>
      </c>
      <c r="K2" s="79">
        <f>Assumptions!C15+8</f>
        <v>2033</v>
      </c>
      <c r="L2" s="79">
        <f>Assumptions!C15+9</f>
        <v>2034</v>
      </c>
    </row>
    <row r="3" spans="2:13" ht="15.75" customHeight="1" x14ac:dyDescent="0.2">
      <c r="B3" s="95" t="s">
        <v>111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</row>
    <row r="4" spans="2:13" ht="15" customHeight="1" x14ac:dyDescent="0.2">
      <c r="B4" s="15" t="s">
        <v>112</v>
      </c>
      <c r="C4" s="17">
        <f>Income_CashFlow!C22</f>
        <v>25110.644599999996</v>
      </c>
      <c r="D4" s="17">
        <f>Income_CashFlow!D22</f>
        <v>26199.883384000001</v>
      </c>
      <c r="E4" s="17">
        <f>Income_CashFlow!E22</f>
        <v>27335.451719359997</v>
      </c>
      <c r="F4" s="17">
        <f>Income_CashFlow!F22</f>
        <v>28519.285588134397</v>
      </c>
      <c r="G4" s="17">
        <f>Income_CashFlow!G22</f>
        <v>29753.400895659768</v>
      </c>
      <c r="H4" s="17">
        <f>Income_CashFlow!H22</f>
        <v>31039.89674200616</v>
      </c>
      <c r="I4" s="17">
        <f>Income_CashFlow!I22</f>
        <v>32380.958826522005</v>
      </c>
      <c r="J4" s="17">
        <f>Income_CashFlow!J22</f>
        <v>33778.862990863556</v>
      </c>
      <c r="K4" s="17">
        <f>Income_CashFlow!K22</f>
        <v>35235.97890611719</v>
      </c>
      <c r="L4" s="17">
        <f>Income_CashFlow!L22</f>
        <v>36754.773909849537</v>
      </c>
    </row>
    <row r="5" spans="2:13" ht="15" customHeight="1" x14ac:dyDescent="0.2">
      <c r="B5" s="2" t="s">
        <v>113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18">
        <f>Income_CashFlow!L25*(1+Assumptions!$C$36)*(1-Assumptions!$C$37)</f>
        <v>1085759.1829876055</v>
      </c>
    </row>
    <row r="6" spans="2:13" ht="15" customHeight="1" x14ac:dyDescent="0.2">
      <c r="B6" s="5" t="s">
        <v>114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9">
        <f>-Assumptions!C38</f>
        <v>-2000</v>
      </c>
    </row>
    <row r="7" spans="2:13" ht="15" customHeight="1" x14ac:dyDescent="0.2">
      <c r="B7" s="20" t="s">
        <v>115</v>
      </c>
      <c r="C7" s="21">
        <f t="shared" ref="C7:L7" si="0">C4+C5+C6</f>
        <v>25110.644599999996</v>
      </c>
      <c r="D7" s="21">
        <f t="shared" si="0"/>
        <v>26199.883384000001</v>
      </c>
      <c r="E7" s="21">
        <f t="shared" si="0"/>
        <v>27335.451719359997</v>
      </c>
      <c r="F7" s="21">
        <f t="shared" si="0"/>
        <v>28519.285588134397</v>
      </c>
      <c r="G7" s="21">
        <f t="shared" si="0"/>
        <v>29753.400895659768</v>
      </c>
      <c r="H7" s="21">
        <f t="shared" si="0"/>
        <v>31039.89674200616</v>
      </c>
      <c r="I7" s="21">
        <f t="shared" si="0"/>
        <v>32380.958826522005</v>
      </c>
      <c r="J7" s="21">
        <f t="shared" si="0"/>
        <v>33778.862990863556</v>
      </c>
      <c r="K7" s="21">
        <f t="shared" si="0"/>
        <v>35235.97890611719</v>
      </c>
      <c r="L7" s="21">
        <f t="shared" si="0"/>
        <v>1120513.956897455</v>
      </c>
    </row>
    <row r="9" spans="2:13" ht="15.75" customHeight="1" x14ac:dyDescent="0.2">
      <c r="B9" s="95" t="s">
        <v>116</v>
      </c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</row>
    <row r="10" spans="2:13" ht="15" customHeight="1" x14ac:dyDescent="0.2">
      <c r="B10" s="5" t="s">
        <v>117</v>
      </c>
      <c r="C10" s="22">
        <v>1</v>
      </c>
      <c r="D10" s="22">
        <v>2</v>
      </c>
      <c r="E10" s="22">
        <v>3</v>
      </c>
      <c r="F10" s="22">
        <v>4</v>
      </c>
      <c r="G10" s="22">
        <v>5</v>
      </c>
      <c r="H10" s="22">
        <v>6</v>
      </c>
      <c r="I10" s="22">
        <v>7</v>
      </c>
      <c r="J10" s="22">
        <v>8</v>
      </c>
      <c r="K10" s="22">
        <v>9</v>
      </c>
      <c r="L10" s="22">
        <v>10</v>
      </c>
    </row>
    <row r="11" spans="2:13" ht="15" customHeight="1" x14ac:dyDescent="0.2">
      <c r="B11" s="2" t="s">
        <v>118</v>
      </c>
      <c r="C11" s="23">
        <f>1/(1+Assumptions!$C$46)^C10</f>
        <v>0.9174311926605504</v>
      </c>
      <c r="D11" s="23">
        <f>1/(1+Assumptions!$C$46)^D10</f>
        <v>0.84167999326655996</v>
      </c>
      <c r="E11" s="23">
        <f>1/(1+Assumptions!$C$46)^E10</f>
        <v>0.77218348006106419</v>
      </c>
      <c r="F11" s="23">
        <f>1/(1+Assumptions!$C$46)^F10</f>
        <v>0.7084252110651964</v>
      </c>
      <c r="G11" s="23">
        <f>1/(1+Assumptions!$C$46)^G10</f>
        <v>0.64993138629834524</v>
      </c>
      <c r="H11" s="23">
        <f>1/(1+Assumptions!$C$46)^H10</f>
        <v>0.5962673268792158</v>
      </c>
      <c r="I11" s="23">
        <f>1/(1+Assumptions!$C$46)^I10</f>
        <v>0.54703424484331731</v>
      </c>
      <c r="J11" s="23">
        <f>1/(1+Assumptions!$C$46)^J10</f>
        <v>0.50186627967276809</v>
      </c>
      <c r="K11" s="23">
        <f>1/(1+Assumptions!$C$46)^K10</f>
        <v>0.46042777951630098</v>
      </c>
      <c r="L11" s="23">
        <f>1/(1+Assumptions!$C$46)^L10</f>
        <v>0.42241080689568894</v>
      </c>
    </row>
    <row r="12" spans="2:13" ht="15" customHeight="1" x14ac:dyDescent="0.2">
      <c r="B12" s="15" t="s">
        <v>119</v>
      </c>
      <c r="C12" s="16">
        <f t="shared" ref="C12:L12" si="1">C7*C11</f>
        <v>23037.288623853205</v>
      </c>
      <c r="D12" s="16">
        <f t="shared" si="1"/>
        <v>22051.917670229777</v>
      </c>
      <c r="E12" s="16">
        <f t="shared" si="1"/>
        <v>21107.984237696604</v>
      </c>
      <c r="F12" s="16">
        <f t="shared" si="1"/>
        <v>20203.780912202725</v>
      </c>
      <c r="G12" s="16">
        <f t="shared" si="1"/>
        <v>19337.669091206579</v>
      </c>
      <c r="H12" s="16">
        <f t="shared" si="1"/>
        <v>18508.076256962893</v>
      </c>
      <c r="I12" s="16">
        <f t="shared" si="1"/>
        <v>17713.493358969015</v>
      </c>
      <c r="J12" s="16">
        <f t="shared" si="1"/>
        <v>16952.472300800844</v>
      </c>
      <c r="K12" s="16">
        <f t="shared" si="1"/>
        <v>16223.623526826757</v>
      </c>
      <c r="L12" s="16">
        <f t="shared" si="1"/>
        <v>473317.20467093517</v>
      </c>
    </row>
    <row r="14" spans="2:13" ht="15.75" customHeight="1" x14ac:dyDescent="0.2">
      <c r="B14" s="95" t="s">
        <v>120</v>
      </c>
      <c r="C14" s="95"/>
      <c r="D14" s="95"/>
      <c r="E14" s="95"/>
      <c r="F14" s="95"/>
    </row>
    <row r="15" spans="2:13" ht="15.75" customHeight="1" x14ac:dyDescent="0.2">
      <c r="B15" s="76" t="s">
        <v>121</v>
      </c>
      <c r="C15" s="76" t="s">
        <v>12</v>
      </c>
      <c r="D15" s="76" t="s">
        <v>122</v>
      </c>
    </row>
    <row r="16" spans="2:13" ht="15" customHeight="1" x14ac:dyDescent="0.2">
      <c r="B16" s="5" t="s">
        <v>123</v>
      </c>
      <c r="C16" s="6">
        <f>SUM(C12:L12)</f>
        <v>648453.51064968354</v>
      </c>
      <c r="D16" s="24" t="s">
        <v>124</v>
      </c>
    </row>
    <row r="17" spans="2:13" ht="15" customHeight="1" x14ac:dyDescent="0.2">
      <c r="B17" s="5" t="s">
        <v>125</v>
      </c>
      <c r="C17" s="6">
        <f>-Assumptions!C8</f>
        <v>-794350</v>
      </c>
      <c r="D17" s="24" t="s">
        <v>126</v>
      </c>
    </row>
    <row r="18" spans="2:13" ht="15" customHeight="1" x14ac:dyDescent="0.2">
      <c r="B18" s="20" t="s">
        <v>127</v>
      </c>
      <c r="C18" s="25">
        <f>C16+C17</f>
        <v>-145896.48935031646</v>
      </c>
      <c r="D18" s="26" t="s">
        <v>128</v>
      </c>
    </row>
    <row r="19" spans="2:13" ht="15" customHeight="1" x14ac:dyDescent="0.2">
      <c r="B19" s="5" t="s">
        <v>129</v>
      </c>
      <c r="C19" s="27">
        <f>IRR(C30:N30)</f>
        <v>-0.1377981112339165</v>
      </c>
      <c r="D19" s="24" t="s">
        <v>130</v>
      </c>
    </row>
    <row r="20" spans="2:13" ht="15" customHeight="1" x14ac:dyDescent="0.2">
      <c r="B20" s="5" t="s">
        <v>131</v>
      </c>
      <c r="C20" s="28">
        <f>Assumptions!C19/Assumptions!C4</f>
        <v>4.8533333333333331E-2</v>
      </c>
      <c r="D20" s="24" t="s">
        <v>132</v>
      </c>
    </row>
    <row r="21" spans="2:13" ht="15" customHeight="1" x14ac:dyDescent="0.2">
      <c r="B21" s="2" t="s">
        <v>133</v>
      </c>
      <c r="C21" s="29">
        <f>Income_CashFlow!D6/Assumptions!C4</f>
        <v>5.1443780266666669E-2</v>
      </c>
      <c r="D21" s="26" t="s">
        <v>134</v>
      </c>
    </row>
    <row r="22" spans="2:13" ht="15" customHeight="1" x14ac:dyDescent="0.2">
      <c r="B22" s="5" t="s">
        <v>135</v>
      </c>
      <c r="C22" s="28">
        <f>IFERROR((SUM(C12:L12)-ABS(C17))/ABS(C17),0)</f>
        <v>-0.18366776528018691</v>
      </c>
      <c r="D22" s="24" t="s">
        <v>136</v>
      </c>
    </row>
    <row r="23" spans="2:13" ht="15" customHeight="1" x14ac:dyDescent="0.2">
      <c r="B23" s="2" t="s">
        <v>137</v>
      </c>
      <c r="C23" s="30">
        <f>IFERROR((SUM(C4:L4)+D5+D6)/ABS(C17),0)</f>
        <v>0.38535801291938387</v>
      </c>
      <c r="D23" s="26" t="s">
        <v>138</v>
      </c>
    </row>
    <row r="24" spans="2:13" ht="15" customHeight="1" x14ac:dyDescent="0.2">
      <c r="B24" s="5" t="s">
        <v>139</v>
      </c>
      <c r="C24" s="31" t="str">
        <f>IFERROR(IF(C30+D30&gt;=0,1,IF(C30+D30+E30&gt;=0,2,IF(C30+D30+E30+F30&gt;=0,3,IF(C30+D30+E30+F30+G30&gt;=0,4,IF(C30+D30+E30+F30+G30+H30&gt;=0,5,IF(C30+D30+E30+F30+G30+H30+I30&gt;=0,6,IF(C30+D30+E30+F30+G30+H30+I30+J30&gt;=0,7,"&gt;8"))))))),"&gt;8")</f>
        <v>&gt;8</v>
      </c>
      <c r="D24" s="24" t="s">
        <v>140</v>
      </c>
    </row>
    <row r="25" spans="2:13" ht="15" customHeight="1" x14ac:dyDescent="0.2">
      <c r="B25" s="2" t="s">
        <v>141</v>
      </c>
      <c r="C25" s="29">
        <f>Assumptions!C47</f>
        <v>0.08</v>
      </c>
      <c r="D25" s="26" t="s">
        <v>142</v>
      </c>
    </row>
    <row r="26" spans="2:13" ht="15" customHeight="1" x14ac:dyDescent="0.2">
      <c r="B26" s="5" t="s">
        <v>143</v>
      </c>
      <c r="C26" s="32" t="str">
        <f>IF(C19&gt;=C25,"✅  PASS — IRR exceeds hurdle","❌  FAIL — below hurdle rate")</f>
        <v>❌  FAIL — below hurdle rate</v>
      </c>
      <c r="D26" s="24" t="s">
        <v>144</v>
      </c>
    </row>
    <row r="30" spans="2:13" ht="15" customHeight="1" x14ac:dyDescent="0.2">
      <c r="B30" s="33" t="s">
        <v>265</v>
      </c>
      <c r="C30" s="34">
        <f>-Assumptions!C8</f>
        <v>-794350</v>
      </c>
      <c r="D30" s="34">
        <f>Income_CashFlow!C22+IF(1=10,D5+D6,0)</f>
        <v>25110.644599999996</v>
      </c>
      <c r="E30" s="34">
        <f>Income_CashFlow!D22+IF(2=10,D5+D6,0)</f>
        <v>26199.883384000001</v>
      </c>
      <c r="F30" s="34">
        <f>Income_CashFlow!E22+IF(3=10,D5+D6,0)</f>
        <v>27335.451719359997</v>
      </c>
      <c r="G30" s="34">
        <f>Income_CashFlow!F22+IF(4=10,D5+D6,0)</f>
        <v>28519.285588134397</v>
      </c>
      <c r="H30" s="34">
        <f>Income_CashFlow!G22+IF(5=10,D5+D6,0)</f>
        <v>29753.400895659768</v>
      </c>
      <c r="I30" s="34">
        <f>Income_CashFlow!H22+IF(6=10,D5+D6,0)</f>
        <v>31039.89674200616</v>
      </c>
      <c r="J30" s="34">
        <f>Income_CashFlow!I22+IF(7=10,D5+D6,0)</f>
        <v>32380.958826522005</v>
      </c>
      <c r="K30" s="34">
        <f>Income_CashFlow!J22+IF(8=10,D5+D6,0)</f>
        <v>33778.862990863556</v>
      </c>
      <c r="L30" s="34">
        <f>Income_CashFlow!K22+IF(9=10,D5+D6,0)</f>
        <v>35235.97890611719</v>
      </c>
      <c r="M30" s="34">
        <f>Income_CashFlow!L22+IF(10=10,D5+D6,0)</f>
        <v>36754.773909849537</v>
      </c>
    </row>
    <row r="39" spans="3:3" ht="16" x14ac:dyDescent="0.2">
      <c r="C39" s="73"/>
    </row>
  </sheetData>
  <mergeCells count="4">
    <mergeCell ref="B1:M1"/>
    <mergeCell ref="B3:M3"/>
    <mergeCell ref="B9:M9"/>
    <mergeCell ref="B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B1:H34"/>
  <sheetViews>
    <sheetView showGridLines="0" zoomScaleNormal="100" workbookViewId="0">
      <selection activeCell="F41" sqref="F41"/>
    </sheetView>
  </sheetViews>
  <sheetFormatPr baseColWidth="10" defaultColWidth="8.6640625" defaultRowHeight="15" x14ac:dyDescent="0.2"/>
  <cols>
    <col min="1" max="1" width="3" customWidth="1"/>
    <col min="2" max="2" width="36" customWidth="1"/>
    <col min="3" max="5" width="16" customWidth="1"/>
    <col min="6" max="6" width="48" customWidth="1"/>
    <col min="7" max="8" width="16" customWidth="1"/>
  </cols>
  <sheetData>
    <row r="1" spans="2:8" ht="25.5" customHeight="1" x14ac:dyDescent="0.2">
      <c r="B1" s="96" t="s">
        <v>145</v>
      </c>
      <c r="C1" s="96"/>
      <c r="D1" s="96"/>
      <c r="E1" s="96"/>
      <c r="F1" s="96"/>
      <c r="G1" s="96"/>
      <c r="H1" s="96"/>
    </row>
    <row r="2" spans="2:8" ht="15.75" customHeight="1" thickBot="1" x14ac:dyDescent="0.25">
      <c r="B2" s="98" t="s">
        <v>146</v>
      </c>
      <c r="C2" s="98"/>
      <c r="D2" s="98"/>
      <c r="E2" s="98"/>
      <c r="F2" s="98"/>
      <c r="G2" s="98"/>
      <c r="H2" s="98"/>
    </row>
    <row r="3" spans="2:8" ht="15.75" customHeight="1" thickTop="1" thickBot="1" x14ac:dyDescent="0.25">
      <c r="B3" s="80" t="s">
        <v>147</v>
      </c>
      <c r="C3" s="80" t="s">
        <v>148</v>
      </c>
      <c r="D3" s="80" t="s">
        <v>149</v>
      </c>
      <c r="E3" s="80" t="s">
        <v>150</v>
      </c>
      <c r="F3" s="80" t="s">
        <v>151</v>
      </c>
    </row>
    <row r="4" spans="2:8" ht="15" customHeight="1" thickTop="1" x14ac:dyDescent="0.2">
      <c r="B4" s="2" t="s">
        <v>127</v>
      </c>
      <c r="C4" s="35">
        <f>DCF_Valuation!C18</f>
        <v>-145896.48935031646</v>
      </c>
      <c r="D4" s="36" t="s">
        <v>152</v>
      </c>
      <c r="E4" s="37" t="str">
        <f>IF(C4&gt;0,"✅ PASS","❌ FAIL")</f>
        <v>❌ FAIL</v>
      </c>
      <c r="F4" s="38" t="s">
        <v>153</v>
      </c>
    </row>
    <row r="5" spans="2:8" ht="15" customHeight="1" x14ac:dyDescent="0.2">
      <c r="B5" s="5" t="s">
        <v>129</v>
      </c>
      <c r="C5" s="39">
        <f>DCF_Valuation!C19</f>
        <v>-0.1377981112339165</v>
      </c>
      <c r="D5" s="40" t="s">
        <v>154</v>
      </c>
      <c r="E5" s="37" t="str">
        <f>IF(C5&gt;=Assumptions!C47,"✅ PASS","❌ FAIL")</f>
        <v>❌ FAIL</v>
      </c>
      <c r="F5" s="4" t="s">
        <v>155</v>
      </c>
    </row>
    <row r="6" spans="2:8" ht="15" customHeight="1" x14ac:dyDescent="0.2">
      <c r="B6" s="2" t="s">
        <v>156</v>
      </c>
      <c r="C6" s="41">
        <f>DCF_Valuation!C20</f>
        <v>4.8533333333333331E-2</v>
      </c>
      <c r="D6" s="36" t="s">
        <v>157</v>
      </c>
      <c r="E6" s="37" t="str">
        <f>IF(C6&gt;=0.035,"✅ PASS","❌ FAIL")</f>
        <v>✅ PASS</v>
      </c>
      <c r="F6" s="38" t="s">
        <v>158</v>
      </c>
    </row>
    <row r="7" spans="2:8" ht="15" customHeight="1" x14ac:dyDescent="0.2">
      <c r="B7" s="5" t="s">
        <v>159</v>
      </c>
      <c r="C7" s="42">
        <f>DCF_Valuation!C21</f>
        <v>5.1443780266666669E-2</v>
      </c>
      <c r="D7" s="40" t="s">
        <v>160</v>
      </c>
      <c r="E7" s="37" t="str">
        <f>IF(C7&gt;=0.025,"✅ PASS","❌ FAIL")</f>
        <v>✅ PASS</v>
      </c>
      <c r="F7" s="4" t="s">
        <v>161</v>
      </c>
    </row>
    <row r="8" spans="2:8" ht="15" customHeight="1" x14ac:dyDescent="0.2">
      <c r="B8" s="2" t="s">
        <v>162</v>
      </c>
      <c r="C8" s="41">
        <f>DCF_Valuation!C22</f>
        <v>-0.18366776528018691</v>
      </c>
      <c r="D8" s="36" t="s">
        <v>163</v>
      </c>
      <c r="E8" s="37" t="str">
        <f>IF(C8&gt;=0.5,"✅ PASS","❌ FAIL")</f>
        <v>❌ FAIL</v>
      </c>
      <c r="F8" s="38" t="s">
        <v>164</v>
      </c>
    </row>
    <row r="9" spans="2:8" ht="15" customHeight="1" x14ac:dyDescent="0.2">
      <c r="B9" s="5" t="s">
        <v>165</v>
      </c>
      <c r="C9" s="43">
        <f>DCF_Valuation!C23</f>
        <v>0.38535801291938387</v>
      </c>
      <c r="D9" s="40" t="s">
        <v>166</v>
      </c>
      <c r="E9" s="37" t="str">
        <f>IF(C9&gt;=1.5,"✅ PASS","❌ FAIL")</f>
        <v>❌ FAIL</v>
      </c>
      <c r="F9" s="4" t="s">
        <v>167</v>
      </c>
    </row>
    <row r="10" spans="2:8" ht="15" customHeight="1" x14ac:dyDescent="0.2">
      <c r="B10" s="2" t="s">
        <v>168</v>
      </c>
      <c r="C10" s="44" t="str">
        <f>DCF_Valuation!C24</f>
        <v>&gt;8</v>
      </c>
      <c r="D10" s="36" t="s">
        <v>169</v>
      </c>
      <c r="E10" s="37" t="str">
        <f>IF(ISNUMBER(DCF_Valuation!C24),IF(DCF_Valuation!C24&lt;=10,"✅ PASS","❌ FAIL"),"Review")</f>
        <v>Review</v>
      </c>
      <c r="F10" s="38" t="s">
        <v>170</v>
      </c>
    </row>
    <row r="12" spans="2:8" ht="21.75" customHeight="1" x14ac:dyDescent="0.2">
      <c r="B12" s="101" t="str">
        <f>IF(COUNTIF(E4:E10,"✅ PASS")&gt;=5,"✅  PROJECT IS FINANCIALLY FEASIBLE","❌  PROJECT REQUIRES FURTHER REVIEW")</f>
        <v>❌  PROJECT REQUIRES FURTHER REVIEW</v>
      </c>
      <c r="C12" s="101"/>
      <c r="D12" s="101"/>
      <c r="E12" s="101"/>
      <c r="F12" s="102" t="str">
        <f>COUNTIF(E4:E10,"✅ PASS")&amp;" / 7 criteria passed"</f>
        <v>2 / 7 criteria passed</v>
      </c>
      <c r="G12" s="102"/>
      <c r="H12" s="102"/>
    </row>
    <row r="14" spans="2:8" ht="15.75" customHeight="1" x14ac:dyDescent="0.2">
      <c r="B14" s="98" t="s">
        <v>171</v>
      </c>
      <c r="C14" s="98"/>
      <c r="D14" s="98"/>
      <c r="E14" s="98"/>
      <c r="F14" s="98"/>
      <c r="G14" s="98"/>
      <c r="H14" s="98"/>
    </row>
    <row r="15" spans="2:8" ht="13.5" customHeight="1" thickBot="1" x14ac:dyDescent="0.25">
      <c r="B15" s="99" t="s">
        <v>172</v>
      </c>
      <c r="C15" s="99"/>
      <c r="D15" s="99"/>
      <c r="E15" s="99"/>
      <c r="F15" s="99"/>
      <c r="G15" s="99"/>
      <c r="H15" s="99"/>
    </row>
    <row r="16" spans="2:8" ht="15.75" customHeight="1" thickTop="1" thickBot="1" x14ac:dyDescent="0.25">
      <c r="B16" s="80" t="s">
        <v>173</v>
      </c>
      <c r="C16" s="80" t="s">
        <v>174</v>
      </c>
      <c r="D16" s="80" t="s">
        <v>175</v>
      </c>
      <c r="E16" s="80" t="s">
        <v>176</v>
      </c>
      <c r="F16" s="80" t="s">
        <v>177</v>
      </c>
      <c r="G16" s="80" t="s">
        <v>178</v>
      </c>
      <c r="H16" s="81"/>
    </row>
    <row r="17" spans="2:7" ht="15" customHeight="1" thickTop="1" x14ac:dyDescent="0.2">
      <c r="B17" s="5" t="s">
        <v>179</v>
      </c>
      <c r="C17" s="6">
        <f>DCF_Valuation!$C$18+(-1*-8000)+(-2*6000)</f>
        <v>-149896.48935031646</v>
      </c>
      <c r="D17" s="6">
        <f>DCF_Valuation!$C$18+(-1*-8000)+(-1*6000)</f>
        <v>-143896.48935031646</v>
      </c>
      <c r="E17" s="6">
        <f>DCF_Valuation!$C$18+(-1*-8000)+(0*6000)</f>
        <v>-137896.48935031646</v>
      </c>
      <c r="F17" s="6">
        <f>DCF_Valuation!$C$18+(-1*-8000)+(1*6000)</f>
        <v>-131896.48935031646</v>
      </c>
      <c r="G17" s="6">
        <f>DCF_Valuation!$C$18+(-1*-8000)+(2*6000)</f>
        <v>-125896.48935031646</v>
      </c>
    </row>
    <row r="18" spans="2:7" ht="15" customHeight="1" x14ac:dyDescent="0.2">
      <c r="B18" s="2" t="s">
        <v>180</v>
      </c>
      <c r="C18" s="8">
        <f>DCF_Valuation!$C$18+(-0.5*-8000)+(-2*6000)</f>
        <v>-153896.48935031646</v>
      </c>
      <c r="D18" s="8">
        <f>DCF_Valuation!$C$18+(-0.5*-8000)+(-1*6000)</f>
        <v>-147896.48935031646</v>
      </c>
      <c r="E18" s="8">
        <f>DCF_Valuation!$C$18+(-0.5*-8000)+(0*6000)</f>
        <v>-141896.48935031646</v>
      </c>
      <c r="F18" s="8">
        <f>DCF_Valuation!$C$18+(-0.5*-8000)+(1*6000)</f>
        <v>-135896.48935031646</v>
      </c>
      <c r="G18" s="8">
        <f>DCF_Valuation!$C$18+(-0.5*-8000)+(2*6000)</f>
        <v>-129896.48935031646</v>
      </c>
    </row>
    <row r="19" spans="2:7" ht="15" customHeight="1" x14ac:dyDescent="0.2">
      <c r="B19" s="5" t="s">
        <v>181</v>
      </c>
      <c r="C19" s="6">
        <f>DCF_Valuation!$C$18+(0*-8000)+(-2*6000)</f>
        <v>-157896.48935031646</v>
      </c>
      <c r="D19" s="6">
        <f>DCF_Valuation!$C$18+(0*-8000)+(-1*6000)</f>
        <v>-151896.48935031646</v>
      </c>
      <c r="E19" s="6">
        <f>DCF_Valuation!$C$18+(0*-8000)+(0*6000)</f>
        <v>-145896.48935031646</v>
      </c>
      <c r="F19" s="6">
        <f>DCF_Valuation!$C$18+(0*-8000)+(1*6000)</f>
        <v>-139896.48935031646</v>
      </c>
      <c r="G19" s="6">
        <f>DCF_Valuation!$C$18+(0*-8000)+(2*6000)</f>
        <v>-133896.48935031646</v>
      </c>
    </row>
    <row r="20" spans="2:7" ht="15" customHeight="1" x14ac:dyDescent="0.2">
      <c r="B20" s="2" t="s">
        <v>182</v>
      </c>
      <c r="C20" s="8">
        <f>DCF_Valuation!$C$18+(0.5*-8000)+(-2*6000)</f>
        <v>-161896.48935031646</v>
      </c>
      <c r="D20" s="8">
        <f>DCF_Valuation!$C$18+(0.5*-8000)+(-1*6000)</f>
        <v>-155896.48935031646</v>
      </c>
      <c r="E20" s="8">
        <f>DCF_Valuation!$C$18+(0.5*-8000)+(0*6000)</f>
        <v>-149896.48935031646</v>
      </c>
      <c r="F20" s="8">
        <f>DCF_Valuation!$C$18+(0.5*-8000)+(1*6000)</f>
        <v>-143896.48935031646</v>
      </c>
      <c r="G20" s="8">
        <f>DCF_Valuation!$C$18+(0.5*-8000)+(2*6000)</f>
        <v>-137896.48935031646</v>
      </c>
    </row>
    <row r="21" spans="2:7" ht="15" customHeight="1" x14ac:dyDescent="0.2">
      <c r="B21" s="5" t="s">
        <v>183</v>
      </c>
      <c r="C21" s="6">
        <f>DCF_Valuation!$C$18+(1*-8000)+(-2*6000)</f>
        <v>-165896.48935031646</v>
      </c>
      <c r="D21" s="6">
        <f>DCF_Valuation!$C$18+(1*-8000)+(-1*6000)</f>
        <v>-159896.48935031646</v>
      </c>
      <c r="E21" s="6">
        <f>DCF_Valuation!$C$18+(1*-8000)+(0*6000)</f>
        <v>-153896.48935031646</v>
      </c>
      <c r="F21" s="6">
        <f>DCF_Valuation!$C$18+(1*-8000)+(1*6000)</f>
        <v>-147896.48935031646</v>
      </c>
      <c r="G21" s="6">
        <f>DCF_Valuation!$C$18+(1*-8000)+(2*6000)</f>
        <v>-141896.48935031646</v>
      </c>
    </row>
    <row r="22" spans="2:7" ht="15" customHeight="1" x14ac:dyDescent="0.2">
      <c r="B22" s="2" t="s">
        <v>184</v>
      </c>
      <c r="C22" s="8">
        <f>DCF_Valuation!$C$18+(1.5*-8000)+(-2*6000)</f>
        <v>-169896.48935031646</v>
      </c>
      <c r="D22" s="8">
        <f>DCF_Valuation!$C$18+(1.5*-8000)+(-1*6000)</f>
        <v>-163896.48935031646</v>
      </c>
      <c r="E22" s="8">
        <f>DCF_Valuation!$C$18+(1.5*-8000)+(0*6000)</f>
        <v>-157896.48935031646</v>
      </c>
      <c r="F22" s="8">
        <f>DCF_Valuation!$C$18+(1.5*-8000)+(1*6000)</f>
        <v>-151896.48935031646</v>
      </c>
      <c r="G22" s="8">
        <f>DCF_Valuation!$C$18+(1.5*-8000)+(2*6000)</f>
        <v>-145896.48935031646</v>
      </c>
    </row>
    <row r="23" spans="2:7" ht="15" customHeight="1" x14ac:dyDescent="0.2">
      <c r="B23" s="5" t="s">
        <v>185</v>
      </c>
      <c r="C23" s="6">
        <f>DCF_Valuation!$C$18+(2*-8000)+(-2*6000)</f>
        <v>-173896.48935031646</v>
      </c>
      <c r="D23" s="6">
        <f>DCF_Valuation!$C$18+(2*-8000)+(-1*6000)</f>
        <v>-167896.48935031646</v>
      </c>
      <c r="E23" s="6">
        <f>DCF_Valuation!$C$18+(2*-8000)+(0*6000)</f>
        <v>-161896.48935031646</v>
      </c>
      <c r="F23" s="6">
        <f>DCF_Valuation!$C$18+(2*-8000)+(1*6000)</f>
        <v>-155896.48935031646</v>
      </c>
      <c r="G23" s="6">
        <f>DCF_Valuation!$C$18+(2*-8000)+(2*6000)</f>
        <v>-149896.48935031646</v>
      </c>
    </row>
    <row r="26" spans="2:7" ht="15.75" customHeight="1" thickBot="1" x14ac:dyDescent="0.25">
      <c r="B26" s="98" t="s">
        <v>186</v>
      </c>
      <c r="C26" s="98"/>
      <c r="D26" s="98"/>
      <c r="E26" s="98"/>
      <c r="F26" s="98"/>
    </row>
    <row r="27" spans="2:7" ht="15.75" customHeight="1" thickTop="1" thickBot="1" x14ac:dyDescent="0.25">
      <c r="B27" s="80" t="s">
        <v>187</v>
      </c>
      <c r="C27" s="80" t="s">
        <v>188</v>
      </c>
      <c r="D27" s="80" t="s">
        <v>189</v>
      </c>
      <c r="E27" s="80" t="s">
        <v>150</v>
      </c>
    </row>
    <row r="28" spans="2:7" ht="15" customHeight="1" thickTop="1" x14ac:dyDescent="0.2">
      <c r="B28" s="5" t="s">
        <v>190</v>
      </c>
      <c r="C28" s="6">
        <f>DCF_Valuation!$C$18+(-1*-4500)</f>
        <v>-141396.48935031646</v>
      </c>
      <c r="D28" s="6">
        <f>C28-DCF_Valuation!$C$18</f>
        <v>4500</v>
      </c>
      <c r="E28" s="45" t="str">
        <f>IF(C28&gt;0,"✅ Feasible","❌ Infeasible")</f>
        <v>❌ Infeasible</v>
      </c>
    </row>
    <row r="29" spans="2:7" ht="15" customHeight="1" x14ac:dyDescent="0.2">
      <c r="B29" s="2" t="s">
        <v>191</v>
      </c>
      <c r="C29" s="8">
        <f>DCF_Valuation!$C$18+(0*-4500)</f>
        <v>-145896.48935031646</v>
      </c>
      <c r="D29" s="8">
        <f>C29-DCF_Valuation!$C$18</f>
        <v>0</v>
      </c>
      <c r="E29" s="46" t="str">
        <f>IF(C29&gt;0,"✅ Feasible","❌ Infeasible")</f>
        <v>❌ Infeasible</v>
      </c>
    </row>
    <row r="30" spans="2:7" ht="15" customHeight="1" x14ac:dyDescent="0.2">
      <c r="B30" s="5" t="s">
        <v>192</v>
      </c>
      <c r="C30" s="6">
        <f>DCF_Valuation!$C$18+(1*-4500)</f>
        <v>-150396.48935031646</v>
      </c>
      <c r="D30" s="6">
        <f>C30-DCF_Valuation!$C$18</f>
        <v>-4500</v>
      </c>
      <c r="E30" s="45" t="str">
        <f>IF(C30&gt;0,"✅ Feasible","❌ Infeasible")</f>
        <v>❌ Infeasible</v>
      </c>
    </row>
    <row r="31" spans="2:7" ht="15" customHeight="1" x14ac:dyDescent="0.2">
      <c r="B31" s="2" t="s">
        <v>193</v>
      </c>
      <c r="C31" s="8">
        <f>DCF_Valuation!$C$18+(2*-4500)</f>
        <v>-154896.48935031646</v>
      </c>
      <c r="D31" s="8">
        <f>C31-DCF_Valuation!$C$18</f>
        <v>-9000</v>
      </c>
      <c r="E31" s="46" t="str">
        <f>IF(C31&gt;0,"✅ Feasible","❌ Infeasible")</f>
        <v>❌ Infeasible</v>
      </c>
    </row>
    <row r="32" spans="2:7" ht="15" customHeight="1" x14ac:dyDescent="0.2">
      <c r="B32" s="5" t="s">
        <v>194</v>
      </c>
      <c r="C32" s="6">
        <f>DCF_Valuation!$C$18+(3*-4500)</f>
        <v>-159396.48935031646</v>
      </c>
      <c r="D32" s="6">
        <f>C32-DCF_Valuation!$C$18</f>
        <v>-13500</v>
      </c>
      <c r="E32" s="45" t="str">
        <f>IF(C32&gt;0,"✅ Feasible","❌ Infeasible")</f>
        <v>❌ Infeasible</v>
      </c>
    </row>
    <row r="34" spans="2:6" ht="27.75" customHeight="1" x14ac:dyDescent="0.2">
      <c r="B34" s="100" t="s">
        <v>326</v>
      </c>
      <c r="C34" s="100"/>
      <c r="D34" s="100"/>
      <c r="E34" s="100"/>
      <c r="F34" s="100"/>
    </row>
  </sheetData>
  <mergeCells count="8">
    <mergeCell ref="B15:H15"/>
    <mergeCell ref="B26:F26"/>
    <mergeCell ref="B34:F34"/>
    <mergeCell ref="B1:H1"/>
    <mergeCell ref="B2:H2"/>
    <mergeCell ref="B12:E12"/>
    <mergeCell ref="F12:H12"/>
    <mergeCell ref="B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5A11"/>
  </sheetPr>
  <dimension ref="B1:I39"/>
  <sheetViews>
    <sheetView showGridLines="0" topLeftCell="B1" zoomScaleNormal="100" workbookViewId="0">
      <selection activeCell="I45" sqref="I45"/>
    </sheetView>
  </sheetViews>
  <sheetFormatPr baseColWidth="10" defaultColWidth="8.6640625" defaultRowHeight="15" x14ac:dyDescent="0.2"/>
  <cols>
    <col min="1" max="1" width="3" customWidth="1"/>
    <col min="2" max="2" width="32" customWidth="1"/>
    <col min="3" max="5" width="16" customWidth="1"/>
    <col min="6" max="6" width="42.1640625" customWidth="1"/>
    <col min="7" max="8" width="16" customWidth="1"/>
    <col min="9" max="9" width="42" customWidth="1"/>
  </cols>
  <sheetData>
    <row r="1" spans="2:9" ht="25.5" customHeight="1" x14ac:dyDescent="0.2">
      <c r="B1" s="96" t="s">
        <v>195</v>
      </c>
      <c r="C1" s="96"/>
      <c r="D1" s="96"/>
      <c r="E1" s="96"/>
      <c r="F1" s="96"/>
      <c r="G1" s="96"/>
      <c r="H1" s="96"/>
      <c r="I1" s="96"/>
    </row>
    <row r="2" spans="2:9" ht="15.75" customHeight="1" x14ac:dyDescent="0.2">
      <c r="B2" s="95" t="s">
        <v>196</v>
      </c>
      <c r="C2" s="95"/>
      <c r="D2" s="95"/>
      <c r="E2" s="95"/>
      <c r="F2" s="95"/>
      <c r="G2" s="95"/>
      <c r="H2" s="95"/>
      <c r="I2" s="95"/>
    </row>
    <row r="3" spans="2:9" ht="15.75" customHeight="1" x14ac:dyDescent="0.2"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</row>
    <row r="4" spans="2:9" ht="15" customHeight="1" x14ac:dyDescent="0.2">
      <c r="B4" s="2" t="s">
        <v>15</v>
      </c>
      <c r="C4" s="47">
        <v>750000</v>
      </c>
      <c r="D4" s="47">
        <v>750000</v>
      </c>
      <c r="E4" s="47">
        <v>750000</v>
      </c>
      <c r="F4" s="38" t="s">
        <v>202</v>
      </c>
    </row>
    <row r="5" spans="2:9" ht="15" customHeight="1" x14ac:dyDescent="0.2">
      <c r="B5" s="5" t="s">
        <v>40</v>
      </c>
      <c r="C5" s="7">
        <v>550</v>
      </c>
      <c r="D5" s="7">
        <v>700</v>
      </c>
      <c r="E5" s="7">
        <v>850</v>
      </c>
      <c r="F5" s="4" t="s">
        <v>203</v>
      </c>
    </row>
    <row r="6" spans="2:9" ht="15" customHeight="1" x14ac:dyDescent="0.2">
      <c r="B6" s="2" t="s">
        <v>48</v>
      </c>
      <c r="C6" s="48">
        <v>0.02</v>
      </c>
      <c r="D6" s="48">
        <v>0.04</v>
      </c>
      <c r="E6" s="48">
        <v>0.06</v>
      </c>
      <c r="F6" s="38" t="s">
        <v>204</v>
      </c>
    </row>
    <row r="7" spans="2:9" ht="15" customHeight="1" x14ac:dyDescent="0.2">
      <c r="B7" s="5" t="s">
        <v>44</v>
      </c>
      <c r="C7" s="13">
        <v>0.05</v>
      </c>
      <c r="D7" s="13">
        <v>0.02</v>
      </c>
      <c r="E7" s="13">
        <v>0.01</v>
      </c>
      <c r="F7" s="4" t="s">
        <v>205</v>
      </c>
    </row>
    <row r="8" spans="2:9" ht="15" customHeight="1" x14ac:dyDescent="0.2">
      <c r="B8" s="2" t="s">
        <v>206</v>
      </c>
      <c r="C8" s="48">
        <v>0.02</v>
      </c>
      <c r="D8" s="48">
        <v>0.04</v>
      </c>
      <c r="E8" s="48">
        <v>7.0000000000000007E-2</v>
      </c>
      <c r="F8" s="38" t="s">
        <v>207</v>
      </c>
    </row>
    <row r="9" spans="2:9" ht="15" customHeight="1" x14ac:dyDescent="0.2">
      <c r="B9" s="5" t="s">
        <v>208</v>
      </c>
      <c r="C9" s="13">
        <v>8.5000000000000006E-2</v>
      </c>
      <c r="D9" s="13">
        <v>6.5000000000000002E-2</v>
      </c>
      <c r="E9" s="13">
        <v>5.5E-2</v>
      </c>
      <c r="F9" s="4" t="s">
        <v>209</v>
      </c>
    </row>
    <row r="10" spans="2:9" ht="15" customHeight="1" x14ac:dyDescent="0.2">
      <c r="B10" s="2" t="s">
        <v>210</v>
      </c>
      <c r="C10" s="48">
        <v>0.1</v>
      </c>
      <c r="D10" s="48">
        <v>0.08</v>
      </c>
      <c r="E10" s="48">
        <v>7.0000000000000007E-2</v>
      </c>
      <c r="F10" s="38" t="s">
        <v>211</v>
      </c>
    </row>
    <row r="12" spans="2:9" ht="15.75" customHeight="1" x14ac:dyDescent="0.2">
      <c r="B12" s="95" t="s">
        <v>212</v>
      </c>
      <c r="C12" s="95"/>
      <c r="D12" s="95"/>
      <c r="E12" s="95"/>
      <c r="F12" s="95"/>
      <c r="G12" s="95"/>
      <c r="H12" s="95"/>
      <c r="I12" s="95"/>
    </row>
    <row r="13" spans="2:9" ht="13.5" customHeight="1" x14ac:dyDescent="0.2">
      <c r="B13" s="103" t="s">
        <v>213</v>
      </c>
      <c r="C13" s="103"/>
      <c r="D13" s="103"/>
      <c r="E13" s="103"/>
      <c r="F13" s="103"/>
      <c r="G13" s="103"/>
      <c r="H13" s="103"/>
      <c r="I13" s="103"/>
    </row>
    <row r="14" spans="2:9" ht="15.75" customHeight="1" x14ac:dyDescent="0.2">
      <c r="B14" s="1" t="s">
        <v>214</v>
      </c>
      <c r="C14" s="1" t="s">
        <v>198</v>
      </c>
      <c r="D14" s="1" t="s">
        <v>199</v>
      </c>
      <c r="E14" s="1" t="s">
        <v>200</v>
      </c>
      <c r="F14" s="1" t="s">
        <v>215</v>
      </c>
    </row>
    <row r="15" spans="2:9" ht="15" customHeight="1" x14ac:dyDescent="0.2">
      <c r="B15" s="15" t="s">
        <v>188</v>
      </c>
      <c r="C15" s="49">
        <f>DCF_Valuation!C18*0.35</f>
        <v>-51063.771272610757</v>
      </c>
      <c r="D15" s="49">
        <f>DCF_Valuation!C18</f>
        <v>-145896.48935031646</v>
      </c>
      <c r="E15" s="49">
        <f>DCF_Valuation!C18*1.65</f>
        <v>-240729.20742802214</v>
      </c>
      <c r="F15" s="6">
        <f>E15-C15</f>
        <v>-189665.43615541139</v>
      </c>
    </row>
    <row r="16" spans="2:9" ht="15" customHeight="1" x14ac:dyDescent="0.2">
      <c r="B16" s="20" t="s">
        <v>216</v>
      </c>
      <c r="C16" s="50">
        <f>DCF_Valuation!C19*0.72</f>
        <v>-9.9214640088419875E-2</v>
      </c>
      <c r="D16" s="50">
        <f>DCF_Valuation!C19</f>
        <v>-0.1377981112339165</v>
      </c>
      <c r="E16" s="50">
        <f>DCF_Valuation!C19*1.4</f>
        <v>-0.19291735572748309</v>
      </c>
      <c r="F16" s="51">
        <f>E16-C16</f>
        <v>-9.3702715639063211E-2</v>
      </c>
    </row>
    <row r="17" spans="2:9" ht="15" customHeight="1" x14ac:dyDescent="0.2">
      <c r="B17" s="15" t="s">
        <v>217</v>
      </c>
      <c r="C17" s="49">
        <f>Income_CashFlow!L25*(1+0.02)^10*(1-0.022)</f>
        <v>1272629.2168461129</v>
      </c>
      <c r="D17" s="49">
        <f>DCF_Valuation!C19*0+Income_CashFlow!L25*(1+0.04)^0*(1-0.022)</f>
        <v>1043999.2144111592</v>
      </c>
      <c r="E17" s="49">
        <f>Income_CashFlow!L25*(1+0.07)^5*(1-0.022)</f>
        <v>1464262.9050218118</v>
      </c>
      <c r="F17" s="6">
        <f>E17-C17</f>
        <v>191633.68817569898</v>
      </c>
    </row>
    <row r="18" spans="2:9" ht="15" customHeight="1" x14ac:dyDescent="0.2">
      <c r="B18" s="20" t="s">
        <v>133</v>
      </c>
      <c r="C18" s="41">
        <f>DCF_Valuation!C21*0.6</f>
        <v>3.0866268160000002E-2</v>
      </c>
      <c r="D18" s="41">
        <f>DCF_Valuation!C21</f>
        <v>5.1443780266666669E-2</v>
      </c>
      <c r="E18" s="41">
        <f>DCF_Valuation!C21*1.3</f>
        <v>6.6876914346666677E-2</v>
      </c>
      <c r="F18" s="29">
        <f>E18-C18</f>
        <v>3.6010646186666675E-2</v>
      </c>
    </row>
    <row r="20" spans="2:9" ht="15.75" customHeight="1" x14ac:dyDescent="0.2">
      <c r="B20" s="95" t="s">
        <v>218</v>
      </c>
      <c r="C20" s="95"/>
      <c r="D20" s="95"/>
      <c r="E20" s="95"/>
      <c r="F20" s="95"/>
      <c r="G20" s="95"/>
      <c r="H20" s="95"/>
      <c r="I20" s="95"/>
    </row>
    <row r="21" spans="2:9" ht="27.75" customHeight="1" x14ac:dyDescent="0.2">
      <c r="B21" s="103" t="s">
        <v>219</v>
      </c>
      <c r="C21" s="103"/>
      <c r="D21" s="103"/>
      <c r="E21" s="103"/>
      <c r="F21" s="103"/>
      <c r="G21" s="103"/>
      <c r="H21" s="103"/>
      <c r="I21" s="103"/>
    </row>
    <row r="22" spans="2:9" ht="15.75" customHeight="1" x14ac:dyDescent="0.2">
      <c r="B22" s="1" t="s">
        <v>220</v>
      </c>
      <c r="C22" s="1" t="s">
        <v>127</v>
      </c>
      <c r="D22" s="1" t="s">
        <v>129</v>
      </c>
      <c r="E22" s="1" t="s">
        <v>151</v>
      </c>
    </row>
    <row r="23" spans="2:9" ht="15" customHeight="1" x14ac:dyDescent="0.2">
      <c r="B23" s="5" t="s">
        <v>221</v>
      </c>
      <c r="C23" s="16">
        <v>85000</v>
      </c>
      <c r="D23" s="52">
        <v>9.2999999999999999E-2</v>
      </c>
      <c r="E23" s="24" t="s">
        <v>222</v>
      </c>
    </row>
    <row r="24" spans="2:9" ht="15" customHeight="1" x14ac:dyDescent="0.2">
      <c r="B24" s="2" t="s">
        <v>223</v>
      </c>
      <c r="C24" s="21">
        <v>78000</v>
      </c>
      <c r="D24" s="53">
        <v>8.8999999999999996E-2</v>
      </c>
      <c r="E24" s="26" t="s">
        <v>224</v>
      </c>
    </row>
    <row r="25" spans="2:9" ht="15" customHeight="1" x14ac:dyDescent="0.2">
      <c r="B25" s="5" t="s">
        <v>225</v>
      </c>
      <c r="C25" s="16">
        <v>-12000</v>
      </c>
      <c r="D25" s="52">
        <v>6.0999999999999999E-2</v>
      </c>
      <c r="E25" s="24" t="s">
        <v>226</v>
      </c>
    </row>
    <row r="26" spans="2:9" ht="15" customHeight="1" x14ac:dyDescent="0.2">
      <c r="B26" s="2" t="s">
        <v>227</v>
      </c>
      <c r="C26" s="21">
        <v>195000</v>
      </c>
      <c r="D26" s="53">
        <v>0.127</v>
      </c>
      <c r="E26" s="26" t="s">
        <v>228</v>
      </c>
    </row>
    <row r="27" spans="2:9" ht="15" customHeight="1" x14ac:dyDescent="0.2">
      <c r="B27" s="5" t="s">
        <v>229</v>
      </c>
      <c r="C27" s="16">
        <v>68000</v>
      </c>
      <c r="D27" s="52">
        <v>0.02</v>
      </c>
      <c r="E27" s="24" t="s">
        <v>230</v>
      </c>
    </row>
    <row r="28" spans="2:9" ht="15" customHeight="1" x14ac:dyDescent="0.2">
      <c r="B28" s="2" t="s">
        <v>231</v>
      </c>
      <c r="C28" s="54" t="s">
        <v>232</v>
      </c>
      <c r="D28" s="54" t="s">
        <v>233</v>
      </c>
      <c r="E28" s="26" t="s">
        <v>234</v>
      </c>
    </row>
    <row r="29" spans="2:9" ht="15" customHeight="1" x14ac:dyDescent="0.2">
      <c r="B29" s="5" t="s">
        <v>235</v>
      </c>
      <c r="C29" s="55" t="s">
        <v>233</v>
      </c>
      <c r="D29" s="55" t="s">
        <v>236</v>
      </c>
      <c r="E29" s="24" t="s">
        <v>237</v>
      </c>
    </row>
    <row r="31" spans="2:9" ht="15.75" customHeight="1" x14ac:dyDescent="0.2">
      <c r="B31" s="95" t="s">
        <v>238</v>
      </c>
      <c r="C31" s="95"/>
      <c r="D31" s="95"/>
      <c r="E31" s="95"/>
      <c r="F31" s="95"/>
      <c r="G31" s="95"/>
      <c r="H31" s="95"/>
      <c r="I31" s="95"/>
    </row>
    <row r="32" spans="2:9" ht="15.75" customHeight="1" x14ac:dyDescent="0.2">
      <c r="B32" s="1" t="s">
        <v>239</v>
      </c>
      <c r="C32" s="1" t="s">
        <v>240</v>
      </c>
      <c r="D32" s="1" t="s">
        <v>241</v>
      </c>
      <c r="E32" s="1" t="s">
        <v>242</v>
      </c>
      <c r="F32" s="1" t="s">
        <v>243</v>
      </c>
    </row>
    <row r="33" spans="2:6" ht="15" customHeight="1" x14ac:dyDescent="0.2">
      <c r="B33" s="5" t="s">
        <v>244</v>
      </c>
      <c r="C33" s="56" t="s">
        <v>245</v>
      </c>
      <c r="D33" s="56" t="s">
        <v>246</v>
      </c>
      <c r="E33" s="57" t="s">
        <v>247</v>
      </c>
      <c r="F33" s="24" t="s">
        <v>248</v>
      </c>
    </row>
    <row r="34" spans="2:6" ht="15" customHeight="1" x14ac:dyDescent="0.2">
      <c r="B34" s="2" t="s">
        <v>249</v>
      </c>
      <c r="C34" s="58" t="s">
        <v>250</v>
      </c>
      <c r="D34" s="58" t="s">
        <v>246</v>
      </c>
      <c r="E34" s="59" t="s">
        <v>251</v>
      </c>
      <c r="F34" s="26" t="s">
        <v>252</v>
      </c>
    </row>
    <row r="35" spans="2:6" ht="15" customHeight="1" x14ac:dyDescent="0.2">
      <c r="B35" s="5" t="s">
        <v>253</v>
      </c>
      <c r="C35" s="56" t="s">
        <v>250</v>
      </c>
      <c r="D35" s="56" t="s">
        <v>246</v>
      </c>
      <c r="E35" s="59" t="s">
        <v>251</v>
      </c>
      <c r="F35" s="24" t="s">
        <v>254</v>
      </c>
    </row>
    <row r="36" spans="2:6" ht="15" customHeight="1" x14ac:dyDescent="0.2">
      <c r="B36" s="2" t="s">
        <v>255</v>
      </c>
      <c r="C36" s="58" t="s">
        <v>250</v>
      </c>
      <c r="D36" s="58" t="s">
        <v>245</v>
      </c>
      <c r="E36" s="60" t="s">
        <v>256</v>
      </c>
      <c r="F36" s="26" t="s">
        <v>257</v>
      </c>
    </row>
    <row r="37" spans="2:6" ht="15" customHeight="1" x14ac:dyDescent="0.2">
      <c r="B37" s="5" t="s">
        <v>258</v>
      </c>
      <c r="C37" s="56" t="s">
        <v>250</v>
      </c>
      <c r="D37" s="56" t="s">
        <v>245</v>
      </c>
      <c r="E37" s="60" t="s">
        <v>256</v>
      </c>
      <c r="F37" s="24" t="s">
        <v>259</v>
      </c>
    </row>
    <row r="38" spans="2:6" ht="15" customHeight="1" x14ac:dyDescent="0.2">
      <c r="B38" s="2" t="s">
        <v>260</v>
      </c>
      <c r="C38" s="58" t="s">
        <v>245</v>
      </c>
      <c r="D38" s="58" t="s">
        <v>245</v>
      </c>
      <c r="E38" s="59" t="s">
        <v>251</v>
      </c>
      <c r="F38" s="26" t="s">
        <v>261</v>
      </c>
    </row>
    <row r="39" spans="2:6" ht="15" customHeight="1" x14ac:dyDescent="0.2">
      <c r="B39" s="5" t="s">
        <v>262</v>
      </c>
      <c r="C39" s="56" t="s">
        <v>246</v>
      </c>
      <c r="D39" s="56" t="s">
        <v>250</v>
      </c>
      <c r="E39" s="59" t="s">
        <v>251</v>
      </c>
      <c r="F39" s="24" t="s">
        <v>263</v>
      </c>
    </row>
  </sheetData>
  <mergeCells count="7">
    <mergeCell ref="B21:I21"/>
    <mergeCell ref="B31:I31"/>
    <mergeCell ref="B1:I1"/>
    <mergeCell ref="B2:I2"/>
    <mergeCell ref="B12:I12"/>
    <mergeCell ref="B13:I13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55A11"/>
  </sheetPr>
  <dimension ref="B1:S31"/>
  <sheetViews>
    <sheetView showGridLines="0" zoomScaleNormal="100" workbookViewId="0">
      <selection activeCell="R32" sqref="R32"/>
    </sheetView>
  </sheetViews>
  <sheetFormatPr baseColWidth="10" defaultColWidth="8.6640625" defaultRowHeight="15" x14ac:dyDescent="0.2"/>
  <cols>
    <col min="1" max="1" width="3" customWidth="1"/>
    <col min="2" max="2" width="26" customWidth="1"/>
    <col min="3" max="19" width="14" customWidth="1"/>
  </cols>
  <sheetData>
    <row r="1" spans="2:19" ht="36" customHeight="1" x14ac:dyDescent="0.2">
      <c r="B1" s="120" t="s">
        <v>324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</row>
    <row r="3" spans="2:19" ht="18" customHeight="1" x14ac:dyDescent="0.2">
      <c r="B3" s="121" t="s">
        <v>264</v>
      </c>
      <c r="C3" s="121"/>
      <c r="D3" s="121"/>
      <c r="E3" s="121" t="s">
        <v>265</v>
      </c>
      <c r="F3" s="121"/>
      <c r="G3" s="121"/>
      <c r="H3" s="121" t="s">
        <v>266</v>
      </c>
      <c r="I3" s="121"/>
      <c r="J3" s="121"/>
      <c r="K3" s="121" t="s">
        <v>267</v>
      </c>
      <c r="L3" s="121"/>
      <c r="M3" s="121"/>
      <c r="N3" s="121" t="s">
        <v>165</v>
      </c>
      <c r="O3" s="121"/>
      <c r="P3" s="121"/>
      <c r="Q3" s="121" t="s">
        <v>268</v>
      </c>
      <c r="R3" s="121"/>
      <c r="S3" s="121"/>
    </row>
    <row r="4" spans="2:19" ht="27.75" customHeight="1" x14ac:dyDescent="0.2">
      <c r="B4" s="117">
        <f>DCF_Valuation!C18</f>
        <v>-145896.48935031646</v>
      </c>
      <c r="C4" s="117"/>
      <c r="D4" s="117"/>
      <c r="E4" s="118">
        <f>DCF_Valuation!C19</f>
        <v>-0.1377981112339165</v>
      </c>
      <c r="F4" s="118"/>
      <c r="G4" s="118"/>
      <c r="H4" s="115">
        <f>DCF_Valuation!C20</f>
        <v>4.8533333333333331E-2</v>
      </c>
      <c r="I4" s="115"/>
      <c r="J4" s="115"/>
      <c r="K4" s="115">
        <f>DCF_Valuation!C21</f>
        <v>5.1443780266666669E-2</v>
      </c>
      <c r="L4" s="115"/>
      <c r="M4" s="115"/>
      <c r="N4" s="119">
        <f>DCF_Valuation!C23</f>
        <v>0.38535801291938387</v>
      </c>
      <c r="O4" s="119"/>
      <c r="P4" s="119"/>
      <c r="Q4" s="115">
        <f>DCF_Valuation!C22</f>
        <v>-0.18366776528018691</v>
      </c>
      <c r="R4" s="115"/>
      <c r="S4" s="115"/>
    </row>
    <row r="5" spans="2:19" ht="13.5" customHeight="1" x14ac:dyDescent="0.2">
      <c r="B5" s="117"/>
      <c r="C5" s="117"/>
      <c r="D5" s="117"/>
      <c r="E5" s="118"/>
      <c r="F5" s="118"/>
      <c r="G5" s="118"/>
      <c r="H5" s="115"/>
      <c r="I5" s="115"/>
      <c r="J5" s="115"/>
      <c r="K5" s="115"/>
      <c r="L5" s="115"/>
      <c r="M5" s="115"/>
      <c r="N5" s="119"/>
      <c r="O5" s="119"/>
      <c r="P5" s="119"/>
      <c r="Q5" s="115"/>
      <c r="R5" s="115"/>
      <c r="S5" s="115"/>
    </row>
    <row r="6" spans="2:19" ht="15.75" customHeight="1" x14ac:dyDescent="0.2">
      <c r="B6" s="116" t="s">
        <v>269</v>
      </c>
      <c r="C6" s="116"/>
      <c r="D6" s="116"/>
      <c r="E6" s="116" t="s">
        <v>270</v>
      </c>
      <c r="F6" s="116"/>
      <c r="G6" s="116"/>
      <c r="H6" s="116" t="s">
        <v>271</v>
      </c>
      <c r="I6" s="116"/>
      <c r="J6" s="116"/>
      <c r="K6" s="116" t="s">
        <v>272</v>
      </c>
      <c r="L6" s="116"/>
      <c r="M6" s="116"/>
      <c r="N6" s="116" t="s">
        <v>273</v>
      </c>
      <c r="O6" s="116"/>
      <c r="P6" s="116"/>
      <c r="Q6" s="116" t="s">
        <v>274</v>
      </c>
      <c r="R6" s="116"/>
      <c r="S6" s="116"/>
    </row>
    <row r="8" spans="2:19" ht="21.75" customHeight="1" x14ac:dyDescent="0.2">
      <c r="B8" s="101" t="str">
        <f>IF(DCF_Valuation!C18&gt;0,"✅  INVESTMENT IS NPV-POSITIVE — PROJECT FEASIBLE UNDER BASE CASE","❌  NPV IS NEGATIVE — REVIEW ASSUMPTIONS")</f>
        <v>❌  NPV IS NEGATIVE — REVIEW ASSUMPTIONS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</row>
    <row r="10" spans="2:19" ht="15.75" customHeight="1" x14ac:dyDescent="0.2">
      <c r="B10" s="95" t="s">
        <v>275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</row>
    <row r="11" spans="2:19" ht="15.75" customHeight="1" x14ac:dyDescent="0.2">
      <c r="B11" s="1" t="s">
        <v>121</v>
      </c>
      <c r="D11" s="1" t="s">
        <v>12</v>
      </c>
      <c r="F11" s="1" t="s">
        <v>276</v>
      </c>
      <c r="J11" s="1" t="s">
        <v>151</v>
      </c>
    </row>
    <row r="12" spans="2:19" ht="15" customHeight="1" x14ac:dyDescent="0.2">
      <c r="B12" s="110" t="s">
        <v>277</v>
      </c>
      <c r="C12" s="110"/>
      <c r="D12" s="111">
        <f>Assumptions!C4</f>
        <v>750000</v>
      </c>
      <c r="E12" s="111"/>
      <c r="F12" s="112" t="s">
        <v>278</v>
      </c>
      <c r="G12" s="112"/>
      <c r="H12" s="112"/>
      <c r="I12" s="112"/>
      <c r="J12" s="113" t="s">
        <v>279</v>
      </c>
      <c r="K12" s="113"/>
      <c r="L12" s="113"/>
      <c r="M12" s="113"/>
      <c r="N12" s="113"/>
      <c r="O12" s="113"/>
      <c r="P12" s="113"/>
      <c r="Q12" s="113"/>
      <c r="R12" s="113"/>
    </row>
    <row r="13" spans="2:19" ht="15" customHeight="1" x14ac:dyDescent="0.2">
      <c r="B13" s="105" t="s">
        <v>280</v>
      </c>
      <c r="C13" s="105"/>
      <c r="D13" s="109">
        <f>Assumptions!C10</f>
        <v>149999.99999999997</v>
      </c>
      <c r="E13" s="109"/>
      <c r="F13" s="107" t="s">
        <v>278</v>
      </c>
      <c r="G13" s="107"/>
      <c r="H13" s="107"/>
      <c r="I13" s="107"/>
      <c r="J13" s="108" t="s">
        <v>281</v>
      </c>
      <c r="K13" s="108"/>
      <c r="L13" s="108"/>
      <c r="M13" s="108"/>
      <c r="N13" s="108"/>
      <c r="O13" s="108"/>
      <c r="P13" s="108"/>
      <c r="Q13" s="108"/>
      <c r="R13" s="108"/>
    </row>
    <row r="14" spans="2:19" ht="15" customHeight="1" x14ac:dyDescent="0.2">
      <c r="B14" s="110" t="s">
        <v>282</v>
      </c>
      <c r="C14" s="110"/>
      <c r="D14" s="111">
        <f>Assumptions!C11</f>
        <v>600000</v>
      </c>
      <c r="E14" s="111"/>
      <c r="F14" s="112" t="s">
        <v>278</v>
      </c>
      <c r="G14" s="112"/>
      <c r="H14" s="112"/>
      <c r="I14" s="112"/>
      <c r="J14" s="113" t="s">
        <v>283</v>
      </c>
      <c r="K14" s="113"/>
      <c r="L14" s="113"/>
      <c r="M14" s="113"/>
      <c r="N14" s="113"/>
      <c r="O14" s="113"/>
      <c r="P14" s="113"/>
      <c r="Q14" s="113"/>
      <c r="R14" s="113"/>
    </row>
    <row r="15" spans="2:19" ht="15" customHeight="1" x14ac:dyDescent="0.2">
      <c r="B15" s="105" t="s">
        <v>284</v>
      </c>
      <c r="C15" s="105"/>
      <c r="D15" s="109">
        <f>Assumptions!C11*Assumptions!C12</f>
        <v>39000</v>
      </c>
      <c r="E15" s="109"/>
      <c r="F15" s="107" t="s">
        <v>278</v>
      </c>
      <c r="G15" s="107"/>
      <c r="H15" s="107"/>
      <c r="I15" s="107"/>
      <c r="J15" s="108" t="s">
        <v>285</v>
      </c>
      <c r="K15" s="108"/>
      <c r="L15" s="108"/>
      <c r="M15" s="108"/>
      <c r="N15" s="108"/>
      <c r="O15" s="108"/>
      <c r="P15" s="108"/>
      <c r="Q15" s="108"/>
      <c r="R15" s="108"/>
    </row>
    <row r="16" spans="2:19" ht="15" customHeight="1" x14ac:dyDescent="0.2">
      <c r="B16" s="110" t="s">
        <v>286</v>
      </c>
      <c r="C16" s="110"/>
      <c r="D16" s="111">
        <f>Income_CashFlow!C6</f>
        <v>37098.879999999997</v>
      </c>
      <c r="E16" s="111"/>
      <c r="F16" s="112" t="s">
        <v>287</v>
      </c>
      <c r="G16" s="112"/>
      <c r="H16" s="112"/>
      <c r="I16" s="112"/>
      <c r="J16" s="113" t="s">
        <v>288</v>
      </c>
      <c r="K16" s="113"/>
      <c r="L16" s="113"/>
      <c r="M16" s="113"/>
      <c r="N16" s="113"/>
      <c r="O16" s="113"/>
      <c r="P16" s="113"/>
      <c r="Q16" s="113"/>
      <c r="R16" s="113"/>
    </row>
    <row r="17" spans="2:19" ht="15" customHeight="1" x14ac:dyDescent="0.2">
      <c r="B17" s="105" t="s">
        <v>289</v>
      </c>
      <c r="C17" s="105"/>
      <c r="D17" s="109">
        <f>Income_CashFlow!C20</f>
        <v>24930.644599999996</v>
      </c>
      <c r="E17" s="109"/>
      <c r="F17" s="107" t="s">
        <v>287</v>
      </c>
      <c r="G17" s="107"/>
      <c r="H17" s="107"/>
      <c r="I17" s="107"/>
      <c r="J17" s="108" t="s">
        <v>290</v>
      </c>
      <c r="K17" s="108"/>
      <c r="L17" s="108"/>
      <c r="M17" s="108"/>
      <c r="N17" s="108"/>
      <c r="O17" s="108"/>
      <c r="P17" s="108"/>
      <c r="Q17" s="108"/>
      <c r="R17" s="108"/>
    </row>
    <row r="18" spans="2:19" ht="15" customHeight="1" x14ac:dyDescent="0.2">
      <c r="B18" s="110" t="s">
        <v>291</v>
      </c>
      <c r="C18" s="110"/>
      <c r="D18" s="111">
        <f>Income_CashFlow!L25</f>
        <v>1067483.8593161136</v>
      </c>
      <c r="E18" s="111"/>
      <c r="F18" s="112" t="s">
        <v>287</v>
      </c>
      <c r="G18" s="112"/>
      <c r="H18" s="112"/>
      <c r="I18" s="112"/>
      <c r="J18" s="113" t="s">
        <v>292</v>
      </c>
      <c r="K18" s="113"/>
      <c r="L18" s="113"/>
      <c r="M18" s="113"/>
      <c r="N18" s="113"/>
      <c r="O18" s="113"/>
      <c r="P18" s="113"/>
      <c r="Q18" s="113"/>
      <c r="R18" s="113"/>
    </row>
    <row r="19" spans="2:19" ht="15" customHeight="1" x14ac:dyDescent="0.2">
      <c r="B19" s="105" t="s">
        <v>293</v>
      </c>
      <c r="C19" s="105"/>
      <c r="D19" s="109">
        <f>DCF_Valuation!D5+DCF_Valuation!D6</f>
        <v>0</v>
      </c>
      <c r="E19" s="109"/>
      <c r="F19" s="107" t="s">
        <v>294</v>
      </c>
      <c r="G19" s="107"/>
      <c r="H19" s="107"/>
      <c r="I19" s="107"/>
      <c r="J19" s="108" t="s">
        <v>295</v>
      </c>
      <c r="K19" s="108"/>
      <c r="L19" s="108"/>
      <c r="M19" s="108"/>
      <c r="N19" s="108"/>
      <c r="O19" s="108"/>
      <c r="P19" s="108"/>
      <c r="Q19" s="108"/>
      <c r="R19" s="108"/>
    </row>
    <row r="20" spans="2:19" ht="15" customHeight="1" x14ac:dyDescent="0.2">
      <c r="B20" s="110" t="s">
        <v>296</v>
      </c>
      <c r="C20" s="110"/>
      <c r="D20" s="114">
        <f>Assumptions!C46</f>
        <v>0.09</v>
      </c>
      <c r="E20" s="114"/>
      <c r="F20" s="112" t="s">
        <v>278</v>
      </c>
      <c r="G20" s="112"/>
      <c r="H20" s="112"/>
      <c r="I20" s="112"/>
      <c r="J20" s="113" t="s">
        <v>297</v>
      </c>
      <c r="K20" s="113"/>
      <c r="L20" s="113"/>
      <c r="M20" s="113"/>
      <c r="N20" s="113"/>
      <c r="O20" s="113"/>
      <c r="P20" s="113"/>
      <c r="Q20" s="113"/>
      <c r="R20" s="113"/>
    </row>
    <row r="21" spans="2:19" ht="15" customHeight="1" x14ac:dyDescent="0.2">
      <c r="B21" s="105" t="s">
        <v>298</v>
      </c>
      <c r="C21" s="105"/>
      <c r="D21" s="109">
        <f>DCF_Valuation!C16</f>
        <v>648453.51064968354</v>
      </c>
      <c r="E21" s="109"/>
      <c r="F21" s="107" t="s">
        <v>294</v>
      </c>
      <c r="G21" s="107"/>
      <c r="H21" s="107"/>
      <c r="I21" s="107"/>
      <c r="J21" s="108" t="s">
        <v>299</v>
      </c>
      <c r="K21" s="108"/>
      <c r="L21" s="108"/>
      <c r="M21" s="108"/>
      <c r="N21" s="108"/>
      <c r="O21" s="108"/>
      <c r="P21" s="108"/>
      <c r="Q21" s="108"/>
      <c r="R21" s="108"/>
    </row>
    <row r="22" spans="2:19" ht="15" customHeight="1" x14ac:dyDescent="0.2">
      <c r="B22" s="110" t="s">
        <v>264</v>
      </c>
      <c r="C22" s="110"/>
      <c r="D22" s="111">
        <f>DCF_Valuation!C18</f>
        <v>-145896.48935031646</v>
      </c>
      <c r="E22" s="111"/>
      <c r="F22" s="112" t="s">
        <v>294</v>
      </c>
      <c r="G22" s="112"/>
      <c r="H22" s="112"/>
      <c r="I22" s="112"/>
      <c r="J22" s="113" t="s">
        <v>300</v>
      </c>
      <c r="K22" s="113"/>
      <c r="L22" s="113"/>
      <c r="M22" s="113"/>
      <c r="N22" s="113"/>
      <c r="O22" s="113"/>
      <c r="P22" s="113"/>
      <c r="Q22" s="113"/>
      <c r="R22" s="113"/>
    </row>
    <row r="23" spans="2:19" ht="15" customHeight="1" x14ac:dyDescent="0.2">
      <c r="B23" s="105" t="s">
        <v>301</v>
      </c>
      <c r="C23" s="105"/>
      <c r="D23" s="106" t="str">
        <f>COUNTIF(Feasibility_Sensitivity!E4:E10,"✅ PASS")&amp;" / 7"</f>
        <v>2 / 7</v>
      </c>
      <c r="E23" s="106"/>
      <c r="F23" s="107" t="s">
        <v>302</v>
      </c>
      <c r="G23" s="107"/>
      <c r="H23" s="107"/>
      <c r="I23" s="107"/>
      <c r="J23" s="108" t="s">
        <v>303</v>
      </c>
      <c r="K23" s="108"/>
      <c r="L23" s="108"/>
      <c r="M23" s="108"/>
      <c r="N23" s="108"/>
      <c r="O23" s="108"/>
      <c r="P23" s="108"/>
      <c r="Q23" s="108"/>
      <c r="R23" s="108"/>
    </row>
    <row r="26" spans="2:19" ht="15.75" customHeight="1" x14ac:dyDescent="0.2">
      <c r="B26" s="104" t="s">
        <v>325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</row>
    <row r="27" spans="2:19" ht="15.75" customHeight="1" x14ac:dyDescent="0.2">
      <c r="B27" s="104" t="s">
        <v>304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 t="s">
        <v>305</v>
      </c>
      <c r="O27" s="104"/>
      <c r="P27" s="104"/>
      <c r="Q27" s="104"/>
      <c r="R27" s="104"/>
      <c r="S27" s="104"/>
    </row>
    <row r="28" spans="2:19" ht="15.75" customHeight="1" x14ac:dyDescent="0.2">
      <c r="B28" s="61" t="s">
        <v>306</v>
      </c>
      <c r="C28" s="62">
        <v>2025</v>
      </c>
      <c r="D28" s="62">
        <v>2026</v>
      </c>
      <c r="E28" s="62">
        <v>2027</v>
      </c>
      <c r="F28" s="62">
        <v>2028</v>
      </c>
      <c r="G28" s="62">
        <v>2029</v>
      </c>
      <c r="H28" s="62">
        <v>2030</v>
      </c>
      <c r="I28" s="62">
        <v>2031</v>
      </c>
      <c r="J28" s="62">
        <v>2032</v>
      </c>
      <c r="K28" s="62">
        <v>2033</v>
      </c>
      <c r="L28" s="62">
        <v>2034</v>
      </c>
      <c r="N28" s="61" t="s">
        <v>307</v>
      </c>
      <c r="O28" s="61" t="s">
        <v>127</v>
      </c>
      <c r="P28" s="61" t="s">
        <v>129</v>
      </c>
    </row>
    <row r="29" spans="2:19" ht="15" customHeight="1" x14ac:dyDescent="0.2">
      <c r="B29" s="61" t="s">
        <v>308</v>
      </c>
      <c r="C29" s="63">
        <f>Income_CashFlow!C22</f>
        <v>25110.644599999996</v>
      </c>
      <c r="D29" s="64">
        <f>Income_CashFlow!D22</f>
        <v>26199.883384000001</v>
      </c>
      <c r="E29" s="63">
        <f>Income_CashFlow!E22</f>
        <v>27335.451719359997</v>
      </c>
      <c r="F29" s="64">
        <f>Income_CashFlow!F22</f>
        <v>28519.285588134397</v>
      </c>
      <c r="G29" s="63">
        <f>Income_CashFlow!G22</f>
        <v>29753.400895659768</v>
      </c>
      <c r="H29" s="64">
        <f>Income_CashFlow!H22</f>
        <v>31039.89674200616</v>
      </c>
      <c r="I29" s="63">
        <f>Income_CashFlow!I22</f>
        <v>32380.958826522005</v>
      </c>
      <c r="J29" s="64">
        <f>Income_CashFlow!J22</f>
        <v>33778.862990863556</v>
      </c>
      <c r="K29" s="63">
        <f>Income_CashFlow!K22</f>
        <v>35235.97890611719</v>
      </c>
      <c r="L29" s="64">
        <f>Income_CashFlow!L22</f>
        <v>36754.773909849537</v>
      </c>
      <c r="N29" s="65" t="s">
        <v>198</v>
      </c>
      <c r="O29" s="66">
        <f>DCF_Valuation!C18*0.35</f>
        <v>-51063.771272610757</v>
      </c>
      <c r="P29" s="67">
        <f>DCF_Valuation!C19*0.72</f>
        <v>-9.9214640088419875E-2</v>
      </c>
    </row>
    <row r="30" spans="2:19" ht="15" customHeight="1" x14ac:dyDescent="0.2">
      <c r="B30" s="61" t="s">
        <v>309</v>
      </c>
      <c r="C30" s="63">
        <f>Income_CashFlow!C25</f>
        <v>750000</v>
      </c>
      <c r="D30" s="64">
        <f>Income_CashFlow!D25</f>
        <v>780000</v>
      </c>
      <c r="E30" s="63">
        <f>Income_CashFlow!E25</f>
        <v>811200</v>
      </c>
      <c r="F30" s="64">
        <f>Income_CashFlow!F25</f>
        <v>843648</v>
      </c>
      <c r="G30" s="63">
        <f>Income_CashFlow!G25</f>
        <v>877393.92000000004</v>
      </c>
      <c r="H30" s="64">
        <f>Income_CashFlow!H25</f>
        <v>912489.67680000013</v>
      </c>
      <c r="I30" s="63">
        <f>Income_CashFlow!I25</f>
        <v>948989.26387200016</v>
      </c>
      <c r="J30" s="64">
        <f>Income_CashFlow!J25</f>
        <v>986948.83442688023</v>
      </c>
      <c r="K30" s="63">
        <f>Income_CashFlow!K25</f>
        <v>1026426.7878039555</v>
      </c>
      <c r="L30" s="64">
        <f>Income_CashFlow!L25</f>
        <v>1067483.8593161136</v>
      </c>
      <c r="N30" s="68" t="s">
        <v>199</v>
      </c>
      <c r="O30" s="69">
        <f>DCF_Valuation!C18</f>
        <v>-145896.48935031646</v>
      </c>
      <c r="P30" s="70">
        <f>DCF_Valuation!C19</f>
        <v>-0.1377981112339165</v>
      </c>
    </row>
    <row r="31" spans="2:19" ht="15" customHeight="1" x14ac:dyDescent="0.2">
      <c r="B31" s="61" t="s">
        <v>310</v>
      </c>
      <c r="C31" s="63">
        <f>C29</f>
        <v>25110.644599999996</v>
      </c>
      <c r="D31" s="64">
        <f t="shared" ref="D31:L31" si="0">C31+D29</f>
        <v>51310.527984</v>
      </c>
      <c r="E31" s="63">
        <f t="shared" si="0"/>
        <v>78645.979703360004</v>
      </c>
      <c r="F31" s="64">
        <f t="shared" si="0"/>
        <v>107165.2652914944</v>
      </c>
      <c r="G31" s="63">
        <f t="shared" si="0"/>
        <v>136918.66618715419</v>
      </c>
      <c r="H31" s="64">
        <f t="shared" si="0"/>
        <v>167958.56292916034</v>
      </c>
      <c r="I31" s="63">
        <f t="shared" si="0"/>
        <v>200339.52175568233</v>
      </c>
      <c r="J31" s="64">
        <f t="shared" si="0"/>
        <v>234118.3847465459</v>
      </c>
      <c r="K31" s="63">
        <f t="shared" si="0"/>
        <v>269354.36365266307</v>
      </c>
      <c r="L31" s="64">
        <f t="shared" si="0"/>
        <v>306109.13756251259</v>
      </c>
      <c r="N31" s="71" t="s">
        <v>200</v>
      </c>
      <c r="O31" s="66">
        <f>DCF_Valuation!C18*1.65</f>
        <v>-240729.20742802214</v>
      </c>
      <c r="P31" s="67">
        <f>DCF_Valuation!C19*1.4</f>
        <v>-0.19291735572748309</v>
      </c>
    </row>
  </sheetData>
  <mergeCells count="72">
    <mergeCell ref="B1:R1"/>
    <mergeCell ref="B3:D3"/>
    <mergeCell ref="E3:G3"/>
    <mergeCell ref="H3:J3"/>
    <mergeCell ref="K3:M3"/>
    <mergeCell ref="N3:P3"/>
    <mergeCell ref="Q3:S3"/>
    <mergeCell ref="Q4:S5"/>
    <mergeCell ref="B6:D6"/>
    <mergeCell ref="E6:G6"/>
    <mergeCell ref="H6:J6"/>
    <mergeCell ref="K6:M6"/>
    <mergeCell ref="N6:P6"/>
    <mergeCell ref="Q6:S6"/>
    <mergeCell ref="B4:D5"/>
    <mergeCell ref="E4:G5"/>
    <mergeCell ref="H4:J5"/>
    <mergeCell ref="K4:M5"/>
    <mergeCell ref="N4:P5"/>
    <mergeCell ref="B8:R8"/>
    <mergeCell ref="B10:R10"/>
    <mergeCell ref="B12:C12"/>
    <mergeCell ref="D12:E12"/>
    <mergeCell ref="F12:I12"/>
    <mergeCell ref="J12:R12"/>
    <mergeCell ref="B13:C13"/>
    <mergeCell ref="D13:E13"/>
    <mergeCell ref="F13:I13"/>
    <mergeCell ref="J13:R13"/>
    <mergeCell ref="B14:C14"/>
    <mergeCell ref="D14:E14"/>
    <mergeCell ref="F14:I14"/>
    <mergeCell ref="J14:R14"/>
    <mergeCell ref="B15:C15"/>
    <mergeCell ref="D15:E15"/>
    <mergeCell ref="F15:I15"/>
    <mergeCell ref="J15:R15"/>
    <mergeCell ref="B16:C16"/>
    <mergeCell ref="D16:E16"/>
    <mergeCell ref="F16:I16"/>
    <mergeCell ref="J16:R16"/>
    <mergeCell ref="B17:C17"/>
    <mergeCell ref="D17:E17"/>
    <mergeCell ref="F17:I17"/>
    <mergeCell ref="J17:R17"/>
    <mergeCell ref="B18:C18"/>
    <mergeCell ref="D18:E18"/>
    <mergeCell ref="F18:I18"/>
    <mergeCell ref="J18:R18"/>
    <mergeCell ref="B19:C19"/>
    <mergeCell ref="D19:E19"/>
    <mergeCell ref="F19:I19"/>
    <mergeCell ref="J19:R19"/>
    <mergeCell ref="B20:C20"/>
    <mergeCell ref="D20:E20"/>
    <mergeCell ref="F20:I20"/>
    <mergeCell ref="J20:R20"/>
    <mergeCell ref="B21:C21"/>
    <mergeCell ref="D21:E21"/>
    <mergeCell ref="F21:I21"/>
    <mergeCell ref="J21:R21"/>
    <mergeCell ref="B22:C22"/>
    <mergeCell ref="D22:E22"/>
    <mergeCell ref="F22:I22"/>
    <mergeCell ref="J22:R22"/>
    <mergeCell ref="B27:M27"/>
    <mergeCell ref="N27:S27"/>
    <mergeCell ref="B23:C23"/>
    <mergeCell ref="D23:E23"/>
    <mergeCell ref="F23:I23"/>
    <mergeCell ref="J23:R23"/>
    <mergeCell ref="B26:S2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75623"/>
  </sheetPr>
  <dimension ref="B1:B26"/>
  <sheetViews>
    <sheetView showGridLines="0" tabSelected="1" zoomScaleNormal="100" workbookViewId="0">
      <selection activeCell="D16" sqref="D16"/>
    </sheetView>
  </sheetViews>
  <sheetFormatPr baseColWidth="10" defaultColWidth="8.6640625" defaultRowHeight="15" x14ac:dyDescent="0.2"/>
  <cols>
    <col min="1" max="1" width="3" customWidth="1"/>
    <col min="2" max="2" width="100" customWidth="1"/>
  </cols>
  <sheetData>
    <row r="1" spans="2:2" ht="36" customHeight="1" x14ac:dyDescent="0.2">
      <c r="B1" s="72" t="s">
        <v>311</v>
      </c>
    </row>
    <row r="6" spans="2:2" ht="19.5" customHeight="1" x14ac:dyDescent="0.2">
      <c r="B6" s="74" t="s">
        <v>312</v>
      </c>
    </row>
    <row r="7" spans="2:2" ht="83" customHeight="1" x14ac:dyDescent="0.2">
      <c r="B7" s="75" t="s">
        <v>313</v>
      </c>
    </row>
    <row r="8" spans="2:2" ht="16" x14ac:dyDescent="0.2">
      <c r="B8" s="73"/>
    </row>
    <row r="9" spans="2:2" ht="19.5" customHeight="1" x14ac:dyDescent="0.2">
      <c r="B9" s="74" t="s">
        <v>314</v>
      </c>
    </row>
    <row r="10" spans="2:2" ht="71" customHeight="1" x14ac:dyDescent="0.2">
      <c r="B10" s="75" t="s">
        <v>315</v>
      </c>
    </row>
    <row r="11" spans="2:2" ht="16" x14ac:dyDescent="0.2">
      <c r="B11" s="73"/>
    </row>
    <row r="12" spans="2:2" ht="19.5" customHeight="1" x14ac:dyDescent="0.2">
      <c r="B12" s="74" t="s">
        <v>316</v>
      </c>
    </row>
    <row r="13" spans="2:2" ht="91" customHeight="1" x14ac:dyDescent="0.2">
      <c r="B13" s="75" t="s">
        <v>317</v>
      </c>
    </row>
    <row r="14" spans="2:2" ht="16" x14ac:dyDescent="0.2">
      <c r="B14" s="73"/>
    </row>
    <row r="15" spans="2:2" ht="19.5" customHeight="1" x14ac:dyDescent="0.2">
      <c r="B15" s="74" t="s">
        <v>318</v>
      </c>
    </row>
    <row r="16" spans="2:2" ht="83" customHeight="1" x14ac:dyDescent="0.2">
      <c r="B16" s="75" t="s">
        <v>319</v>
      </c>
    </row>
    <row r="17" spans="2:2" ht="16" x14ac:dyDescent="0.2">
      <c r="B17" s="73"/>
    </row>
    <row r="18" spans="2:2" ht="19.5" customHeight="1" x14ac:dyDescent="0.2">
      <c r="B18" s="74" t="s">
        <v>320</v>
      </c>
    </row>
    <row r="19" spans="2:2" ht="100" customHeight="1" x14ac:dyDescent="0.2">
      <c r="B19" s="75" t="s">
        <v>321</v>
      </c>
    </row>
    <row r="20" spans="2:2" ht="16" x14ac:dyDescent="0.2">
      <c r="B20" s="73"/>
    </row>
    <row r="21" spans="2:2" ht="19.5" customHeight="1" x14ac:dyDescent="0.2">
      <c r="B21" s="74" t="s">
        <v>322</v>
      </c>
    </row>
    <row r="22" spans="2:2" ht="99" customHeight="1" x14ac:dyDescent="0.2">
      <c r="B22" s="75" t="s">
        <v>323</v>
      </c>
    </row>
    <row r="23" spans="2:2" ht="16" x14ac:dyDescent="0.2">
      <c r="B23" s="74"/>
    </row>
    <row r="24" spans="2:2" ht="19.5" customHeight="1" x14ac:dyDescent="0.2">
      <c r="B24" s="82"/>
    </row>
    <row r="25" spans="2:2" ht="176" customHeight="1" x14ac:dyDescent="0.2">
      <c r="B25" s="83"/>
    </row>
    <row r="26" spans="2:2" x14ac:dyDescent="0.2">
      <c r="B26" s="8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Income_CashFlow</vt:lpstr>
      <vt:lpstr>DCF_Valuation</vt:lpstr>
      <vt:lpstr>Feasibility_Sensitivity</vt:lpstr>
      <vt:lpstr>Risk_Analysis</vt:lpstr>
      <vt:lpstr>Dashboard</vt:lpstr>
      <vt:lpstr>Final_Insights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gokul baskar</cp:lastModifiedBy>
  <cp:revision>1</cp:revision>
  <dcterms:created xsi:type="dcterms:W3CDTF">2026-03-23T03:35:23Z</dcterms:created>
  <dcterms:modified xsi:type="dcterms:W3CDTF">2026-03-23T13:29:25Z</dcterms:modified>
  <dc:language>en-US</dc:language>
</cp:coreProperties>
</file>