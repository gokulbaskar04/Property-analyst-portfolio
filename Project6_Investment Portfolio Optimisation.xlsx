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3"/>
  <workbookPr/>
  <mc:AlternateContent xmlns:mc="http://schemas.openxmlformats.org/markup-compatibility/2006">
    <mc:Choice Requires="x15">
      <x15ac:absPath xmlns:x15ac="http://schemas.microsoft.com/office/spreadsheetml/2010/11/ac" url="/Volumes/One Touch/Property Analytics/"/>
    </mc:Choice>
  </mc:AlternateContent>
  <xr:revisionPtr revIDLastSave="0" documentId="13_ncr:1_{96597326-B9FC-E243-A164-B7D9FA622AB9}" xr6:coauthVersionLast="47" xr6:coauthVersionMax="47" xr10:uidLastSave="{00000000-0000-0000-0000-000000000000}"/>
  <bookViews>
    <workbookView xWindow="30840" yWindow="3260" windowWidth="28800" windowHeight="16180" activeTab="7" xr2:uid="{00000000-000D-0000-FFFF-FFFF00000000}"/>
  </bookViews>
  <sheets>
    <sheet name="Sheet1" sheetId="46" r:id="rId1"/>
    <sheet name="1.a Compute rate of return" sheetId="17" r:id="rId2"/>
    <sheet name="1.b Sample  (Return and Risk)" sheetId="1" r:id="rId3"/>
    <sheet name="2.a. LP Modelling" sheetId="21" r:id="rId4"/>
    <sheet name="2.b LP Sensitivity Report " sheetId="45" r:id="rId5"/>
    <sheet name="Answer Report 1" sheetId="44" r:id="rId6"/>
    <sheet name="3a. ILP Modelling" sheetId="23" r:id="rId7"/>
    <sheet name="Summary Sheet" sheetId="20" r:id="rId8"/>
  </sheets>
  <definedNames>
    <definedName name="_xlnm._FilterDatabase" localSheetId="2" hidden="1">'1.b Sample  (Return and Risk)'!$S$25:$T$33</definedName>
    <definedName name="solver_adj" localSheetId="3" hidden="1">'2.a. LP Modelling'!$C$11:$J$11</definedName>
    <definedName name="solver_adj" localSheetId="6" hidden="1">'3a. ILP Modelling'!$C$11:$J$11</definedName>
    <definedName name="solver_cvg" localSheetId="3" hidden="1">0.0001</definedName>
    <definedName name="solver_cvg" localSheetId="6" hidden="1">0.0001</definedName>
    <definedName name="solver_drv" localSheetId="3" hidden="1">2</definedName>
    <definedName name="solver_drv" localSheetId="6" hidden="1">2</definedName>
    <definedName name="solver_eng" localSheetId="3" hidden="1">2</definedName>
    <definedName name="solver_eng" localSheetId="6" hidden="1">2</definedName>
    <definedName name="solver_itr" localSheetId="3" hidden="1">2147483647</definedName>
    <definedName name="solver_itr" localSheetId="6" hidden="1">2147483647</definedName>
    <definedName name="solver_lhs1" localSheetId="3" hidden="1">'2.a. LP Modelling'!$C$20</definedName>
    <definedName name="solver_lhs1" localSheetId="6" hidden="1">'3a. ILP Modelling'!$A$22</definedName>
    <definedName name="solver_lhs10" localSheetId="3" hidden="1">'2.a. LP Modelling'!$C$38</definedName>
    <definedName name="solver_lhs10" localSheetId="6" hidden="1">'3a. ILP Modelling'!$C$11:$J$11</definedName>
    <definedName name="solver_lhs11" localSheetId="3" hidden="1">'2.a. LP Modelling'!$C$40</definedName>
    <definedName name="solver_lhs11" localSheetId="6" hidden="1">'3a. ILP Modelling'!$A$42</definedName>
    <definedName name="solver_lhs12" localSheetId="3" hidden="1">'2.a. LP Modelling'!$C$42</definedName>
    <definedName name="solver_lhs12" localSheetId="6" hidden="1">'3a. ILP Modelling'!#REF!</definedName>
    <definedName name="solver_lhs13" localSheetId="3" hidden="1">'2.a. LP Modelling'!$C$44</definedName>
    <definedName name="solver_lhs13" localSheetId="6" hidden="1">'3a. ILP Modelling'!#REF!</definedName>
    <definedName name="solver_lhs14" localSheetId="3" hidden="1">'2.a. LP Modelling'!$C$46</definedName>
    <definedName name="solver_lhs14" localSheetId="6" hidden="1">'3a. ILP Modelling'!#REF!</definedName>
    <definedName name="solver_lhs15" localSheetId="3" hidden="1">'2.a. LP Modelling'!$C$48</definedName>
    <definedName name="solver_lhs15" localSheetId="6" hidden="1">'3a. ILP Modelling'!#REF!</definedName>
    <definedName name="solver_lhs16" localSheetId="3" hidden="1">'2.a. LP Modelling'!$C$50</definedName>
    <definedName name="solver_lhs16" localSheetId="6" hidden="1">'3a. ILP Modelling'!#REF!</definedName>
    <definedName name="solver_lhs17" localSheetId="3" hidden="1">'2.a. LP Modelling'!$C$52</definedName>
    <definedName name="solver_lhs17" localSheetId="6" hidden="1">'3a. ILP Modelling'!#REF!</definedName>
    <definedName name="solver_lhs18" localSheetId="3" hidden="1">'2.a. LP Modelling'!#REF!</definedName>
    <definedName name="solver_lhs18" localSheetId="6" hidden="1">'3a. ILP Modelling'!#REF!</definedName>
    <definedName name="solver_lhs19" localSheetId="3" hidden="1">'2.a. LP Modelling'!#REF!</definedName>
    <definedName name="solver_lhs19" localSheetId="6" hidden="1">'3a. ILP Modelling'!#REF!</definedName>
    <definedName name="solver_lhs2" localSheetId="3" hidden="1">'2.a. LP Modelling'!$C$22</definedName>
    <definedName name="solver_lhs2" localSheetId="6" hidden="1">'3a. ILP Modelling'!$A$24</definedName>
    <definedName name="solver_lhs20" localSheetId="3" hidden="1">'2.a. LP Modelling'!#REF!</definedName>
    <definedName name="solver_lhs20" localSheetId="6" hidden="1">'3a. ILP Modelling'!#REF!</definedName>
    <definedName name="solver_lhs21" localSheetId="3" hidden="1">'2.a. LP Modelling'!#REF!</definedName>
    <definedName name="solver_lhs21" localSheetId="6" hidden="1">'3a. ILP Modelling'!#REF!</definedName>
    <definedName name="solver_lhs22" localSheetId="3" hidden="1">'2.a. LP Modelling'!$C$50</definedName>
    <definedName name="solver_lhs22" localSheetId="6" hidden="1">'3a. ILP Modelling'!#REF!</definedName>
    <definedName name="solver_lhs23" localSheetId="3" hidden="1">'2.a. LP Modelling'!$C$22</definedName>
    <definedName name="solver_lhs23" localSheetId="6" hidden="1">'3a. ILP Modelling'!#REF!</definedName>
    <definedName name="solver_lhs24" localSheetId="3" hidden="1">'2.a. LP Modelling'!$C$24</definedName>
    <definedName name="solver_lhs24" localSheetId="6" hidden="1">'3a. ILP Modelling'!#REF!</definedName>
    <definedName name="solver_lhs3" localSheetId="3" hidden="1">'2.a. LP Modelling'!$C$24</definedName>
    <definedName name="solver_lhs3" localSheetId="6" hidden="1">'3a. ILP Modelling'!$A$26</definedName>
    <definedName name="solver_lhs4" localSheetId="3" hidden="1">'2.a. LP Modelling'!$C$26</definedName>
    <definedName name="solver_lhs4" localSheetId="6" hidden="1">'3a. ILP Modelling'!$A$28</definedName>
    <definedName name="solver_lhs5" localSheetId="3" hidden="1">'2.a. LP Modelling'!$C$28</definedName>
    <definedName name="solver_lhs5" localSheetId="6" hidden="1">'3a. ILP Modelling'!$A$30</definedName>
    <definedName name="solver_lhs6" localSheetId="3" hidden="1">'2.a. LP Modelling'!$C$30</definedName>
    <definedName name="solver_lhs6" localSheetId="6" hidden="1">'3a. ILP Modelling'!$A$32</definedName>
    <definedName name="solver_lhs7" localSheetId="3" hidden="1">'2.a. LP Modelling'!$C$32</definedName>
    <definedName name="solver_lhs7" localSheetId="6" hidden="1">'3a. ILP Modelling'!$A$34</definedName>
    <definedName name="solver_lhs8" localSheetId="3" hidden="1">'2.a. LP Modelling'!$C$34</definedName>
    <definedName name="solver_lhs8" localSheetId="6" hidden="1">'3a. ILP Modelling'!$A$36</definedName>
    <definedName name="solver_lhs9" localSheetId="3" hidden="1">'2.a. LP Modelling'!$C$36</definedName>
    <definedName name="solver_lhs9" localSheetId="6" hidden="1">'3a. ILP Modelling'!$A$38</definedName>
    <definedName name="solver_lin" localSheetId="3" hidden="1">1</definedName>
    <definedName name="solver_lin" localSheetId="6" hidden="1">1</definedName>
    <definedName name="solver_mip" localSheetId="3" hidden="1">2147483647</definedName>
    <definedName name="solver_mip" localSheetId="6" hidden="1">2147483647</definedName>
    <definedName name="solver_mni" localSheetId="3" hidden="1">30</definedName>
    <definedName name="solver_mni" localSheetId="6" hidden="1">30</definedName>
    <definedName name="solver_mrt" localSheetId="3" hidden="1">0.075</definedName>
    <definedName name="solver_mrt" localSheetId="6" hidden="1">0.075</definedName>
    <definedName name="solver_msl" localSheetId="3" hidden="1">2</definedName>
    <definedName name="solver_msl" localSheetId="6" hidden="1">2</definedName>
    <definedName name="solver_neg" localSheetId="3" hidden="1">2</definedName>
    <definedName name="solver_neg" localSheetId="6" hidden="1">1</definedName>
    <definedName name="solver_nod" localSheetId="3" hidden="1">2147483647</definedName>
    <definedName name="solver_nod" localSheetId="6" hidden="1">2147483647</definedName>
    <definedName name="solver_num" localSheetId="3" hidden="1">17</definedName>
    <definedName name="solver_num" localSheetId="6" hidden="1">10</definedName>
    <definedName name="solver_opt" localSheetId="3" hidden="1">'2.a. LP Modelling'!$C$16</definedName>
    <definedName name="solver_opt" localSheetId="6" hidden="1">'3a. ILP Modelling'!$C$18</definedName>
    <definedName name="solver_pre" localSheetId="3" hidden="1">0.000001</definedName>
    <definedName name="solver_pre" localSheetId="6" hidden="1">0.000001</definedName>
    <definedName name="solver_rbv" localSheetId="3" hidden="1">2</definedName>
    <definedName name="solver_rbv" localSheetId="6" hidden="1">2</definedName>
    <definedName name="solver_rel1" localSheetId="3" hidden="1">1</definedName>
    <definedName name="solver_rel1" localSheetId="6" hidden="1">2</definedName>
    <definedName name="solver_rel10" localSheetId="3" hidden="1">3</definedName>
    <definedName name="solver_rel10" localSheetId="6" hidden="1">5</definedName>
    <definedName name="solver_rel11" localSheetId="3" hidden="1">3</definedName>
    <definedName name="solver_rel11" localSheetId="6" hidden="1">3</definedName>
    <definedName name="solver_rel12" localSheetId="3" hidden="1">3</definedName>
    <definedName name="solver_rel12" localSheetId="6" hidden="1">3</definedName>
    <definedName name="solver_rel13" localSheetId="3" hidden="1">3</definedName>
    <definedName name="solver_rel13" localSheetId="6" hidden="1">3</definedName>
    <definedName name="solver_rel14" localSheetId="3" hidden="1">3</definedName>
    <definedName name="solver_rel14" localSheetId="6" hidden="1">1</definedName>
    <definedName name="solver_rel15" localSheetId="3" hidden="1">3</definedName>
    <definedName name="solver_rel15" localSheetId="6" hidden="1">1</definedName>
    <definedName name="solver_rel16" localSheetId="3" hidden="1">2</definedName>
    <definedName name="solver_rel16" localSheetId="6" hidden="1">1</definedName>
    <definedName name="solver_rel17" localSheetId="3" hidden="1">3</definedName>
    <definedName name="solver_rel17" localSheetId="6" hidden="1">1</definedName>
    <definedName name="solver_rel18" localSheetId="3" hidden="1">1</definedName>
    <definedName name="solver_rel18" localSheetId="6" hidden="1">1</definedName>
    <definedName name="solver_rel19" localSheetId="3" hidden="1">1</definedName>
    <definedName name="solver_rel19" localSheetId="6" hidden="1">1</definedName>
    <definedName name="solver_rel2" localSheetId="3" hidden="1">3</definedName>
    <definedName name="solver_rel2" localSheetId="6" hidden="1">3</definedName>
    <definedName name="solver_rel20" localSheetId="3" hidden="1">1</definedName>
    <definedName name="solver_rel20" localSheetId="6" hidden="1">1</definedName>
    <definedName name="solver_rel21" localSheetId="3" hidden="1">1</definedName>
    <definedName name="solver_rel21" localSheetId="6" hidden="1">1</definedName>
    <definedName name="solver_rel22" localSheetId="3" hidden="1">2</definedName>
    <definedName name="solver_rel22" localSheetId="6" hidden="1">2</definedName>
    <definedName name="solver_rel23" localSheetId="3" hidden="1">3</definedName>
    <definedName name="solver_rel23" localSheetId="6" hidden="1">3</definedName>
    <definedName name="solver_rel24" localSheetId="3" hidden="1">3</definedName>
    <definedName name="solver_rel24" localSheetId="6" hidden="1">3</definedName>
    <definedName name="solver_rel3" localSheetId="3" hidden="1">3</definedName>
    <definedName name="solver_rel3" localSheetId="6" hidden="1">3</definedName>
    <definedName name="solver_rel4" localSheetId="3" hidden="1">3</definedName>
    <definedName name="solver_rel4" localSheetId="6" hidden="1">3</definedName>
    <definedName name="solver_rel5" localSheetId="3" hidden="1">3</definedName>
    <definedName name="solver_rel5" localSheetId="6" hidden="1">3</definedName>
    <definedName name="solver_rel6" localSheetId="3" hidden="1">3</definedName>
    <definedName name="solver_rel6" localSheetId="6" hidden="1">1</definedName>
    <definedName name="solver_rel7" localSheetId="3" hidden="1">3</definedName>
    <definedName name="solver_rel7" localSheetId="6" hidden="1">3</definedName>
    <definedName name="solver_rel8" localSheetId="3" hidden="1">3</definedName>
    <definedName name="solver_rel8" localSheetId="6" hidden="1">1</definedName>
    <definedName name="solver_rel9" localSheetId="3" hidden="1">3</definedName>
    <definedName name="solver_rel9" localSheetId="6" hidden="1">1</definedName>
    <definedName name="solver_rhs1" localSheetId="3" hidden="1">'2.a. LP Modelling'!$E$20</definedName>
    <definedName name="solver_rhs1" localSheetId="6" hidden="1">'3a. ILP Modelling'!$C$22</definedName>
    <definedName name="solver_rhs10" localSheetId="3" hidden="1">'2.a. LP Modelling'!$E$38</definedName>
    <definedName name="solver_rhs10" localSheetId="6" hidden="1">"binary"</definedName>
    <definedName name="solver_rhs11" localSheetId="3" hidden="1">'2.a. LP Modelling'!$E$40</definedName>
    <definedName name="solver_rhs11" localSheetId="6" hidden="1">'3a. ILP Modelling'!$C$42</definedName>
    <definedName name="solver_rhs12" localSheetId="3" hidden="1">'2.a. LP Modelling'!$E$42</definedName>
    <definedName name="solver_rhs12" localSheetId="6" hidden="1">'3a. ILP Modelling'!#REF!</definedName>
    <definedName name="solver_rhs13" localSheetId="3" hidden="1">'2.a. LP Modelling'!$E$44</definedName>
    <definedName name="solver_rhs13" localSheetId="6" hidden="1">'3a. ILP Modelling'!#REF!</definedName>
    <definedName name="solver_rhs14" localSheetId="3" hidden="1">'2.a. LP Modelling'!$E$46</definedName>
    <definedName name="solver_rhs14" localSheetId="6" hidden="1">'3a. ILP Modelling'!#REF!</definedName>
    <definedName name="solver_rhs15" localSheetId="3" hidden="1">'2.a. LP Modelling'!$E$48</definedName>
    <definedName name="solver_rhs15" localSheetId="6" hidden="1">'3a. ILP Modelling'!#REF!</definedName>
    <definedName name="solver_rhs16" localSheetId="3" hidden="1">'2.a. LP Modelling'!$E$50</definedName>
    <definedName name="solver_rhs16" localSheetId="6" hidden="1">'3a. ILP Modelling'!#REF!</definedName>
    <definedName name="solver_rhs17" localSheetId="3" hidden="1">'2.a. LP Modelling'!$E$52</definedName>
    <definedName name="solver_rhs17" localSheetId="6" hidden="1">'3a. ILP Modelling'!#REF!</definedName>
    <definedName name="solver_rhs18" localSheetId="3" hidden="1">'2.a. LP Modelling'!#REF!</definedName>
    <definedName name="solver_rhs18" localSheetId="6" hidden="1">'3a. ILP Modelling'!#REF!</definedName>
    <definedName name="solver_rhs19" localSheetId="3" hidden="1">'2.a. LP Modelling'!#REF!</definedName>
    <definedName name="solver_rhs19" localSheetId="6" hidden="1">'3a. ILP Modelling'!#REF!</definedName>
    <definedName name="solver_rhs2" localSheetId="3" hidden="1">'2.a. LP Modelling'!$E$22</definedName>
    <definedName name="solver_rhs2" localSheetId="6" hidden="1">'3a. ILP Modelling'!$C$24</definedName>
    <definedName name="solver_rhs20" localSheetId="3" hidden="1">'2.a. LP Modelling'!#REF!</definedName>
    <definedName name="solver_rhs20" localSheetId="6" hidden="1">'3a. ILP Modelling'!#REF!</definedName>
    <definedName name="solver_rhs21" localSheetId="3" hidden="1">'2.a. LP Modelling'!#REF!</definedName>
    <definedName name="solver_rhs21" localSheetId="6" hidden="1">'3a. ILP Modelling'!#REF!</definedName>
    <definedName name="solver_rhs22" localSheetId="3" hidden="1">'2.a. LP Modelling'!$E$50</definedName>
    <definedName name="solver_rhs22" localSheetId="6" hidden="1">'3a. ILP Modelling'!#REF!</definedName>
    <definedName name="solver_rhs23" localSheetId="3" hidden="1">'2.a. LP Modelling'!$E$22</definedName>
    <definedName name="solver_rhs23" localSheetId="6" hidden="1">'3a. ILP Modelling'!#REF!</definedName>
    <definedName name="solver_rhs24" localSheetId="3" hidden="1">'2.a. LP Modelling'!$E$24</definedName>
    <definedName name="solver_rhs24" localSheetId="6" hidden="1">'3a. ILP Modelling'!#REF!</definedName>
    <definedName name="solver_rhs3" localSheetId="3" hidden="1">'2.a. LP Modelling'!$E$24</definedName>
    <definedName name="solver_rhs3" localSheetId="6" hidden="1">'3a. ILP Modelling'!$C$26</definedName>
    <definedName name="solver_rhs4" localSheetId="3" hidden="1">'2.a. LP Modelling'!$E$26</definedName>
    <definedName name="solver_rhs4" localSheetId="6" hidden="1">'3a. ILP Modelling'!$C$28</definedName>
    <definedName name="solver_rhs5" localSheetId="3" hidden="1">'2.a. LP Modelling'!$E$28</definedName>
    <definedName name="solver_rhs5" localSheetId="6" hidden="1">'3a. ILP Modelling'!$C$30</definedName>
    <definedName name="solver_rhs6" localSheetId="3" hidden="1">'2.a. LP Modelling'!$E$30</definedName>
    <definedName name="solver_rhs6" localSheetId="6" hidden="1">'3a. ILP Modelling'!$C$32</definedName>
    <definedName name="solver_rhs7" localSheetId="3" hidden="1">'2.a. LP Modelling'!$E$32</definedName>
    <definedName name="solver_rhs7" localSheetId="6" hidden="1">'3a. ILP Modelling'!$C$34</definedName>
    <definedName name="solver_rhs8" localSheetId="3" hidden="1">'2.a. LP Modelling'!$E$34</definedName>
    <definedName name="solver_rhs8" localSheetId="6" hidden="1">'3a. ILP Modelling'!$C$36</definedName>
    <definedName name="solver_rhs9" localSheetId="3" hidden="1">'2.a. LP Modelling'!$E$36</definedName>
    <definedName name="solver_rhs9" localSheetId="6" hidden="1">'3a. ILP Modelling'!$C$38</definedName>
    <definedName name="solver_rlx" localSheetId="3" hidden="1">2</definedName>
    <definedName name="solver_rlx" localSheetId="6" hidden="1">2</definedName>
    <definedName name="solver_rsd" localSheetId="3" hidden="1">0</definedName>
    <definedName name="solver_rsd" localSheetId="6" hidden="1">0</definedName>
    <definedName name="solver_scl" localSheetId="3" hidden="1">2</definedName>
    <definedName name="solver_scl" localSheetId="6" hidden="1">2</definedName>
    <definedName name="solver_sho" localSheetId="3" hidden="1">2</definedName>
    <definedName name="solver_sho" localSheetId="6" hidden="1">2</definedName>
    <definedName name="solver_ssz" localSheetId="3" hidden="1">100</definedName>
    <definedName name="solver_ssz" localSheetId="6" hidden="1">100</definedName>
    <definedName name="solver_tim" localSheetId="3" hidden="1">2147483647</definedName>
    <definedName name="solver_tim" localSheetId="6" hidden="1">2147483647</definedName>
    <definedName name="solver_tol" localSheetId="3" hidden="1">0.01</definedName>
    <definedName name="solver_tol" localSheetId="6" hidden="1">0.01</definedName>
    <definedName name="solver_typ" localSheetId="3" hidden="1">1</definedName>
    <definedName name="solver_typ" localSheetId="6" hidden="1">1</definedName>
    <definedName name="solver_val" localSheetId="3" hidden="1">0</definedName>
    <definedName name="solver_val" localSheetId="6" hidden="1">0</definedName>
    <definedName name="solver_ver" localSheetId="3" hidden="1">2</definedName>
    <definedName name="solver_ver" localSheetId="6" hidden="1">2</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21" l="1"/>
  <c r="B5" i="17" a="1"/>
  <c r="B5" i="17" l="1"/>
  <c r="C52" i="21"/>
  <c r="J26" i="20"/>
  <c r="J25" i="20"/>
  <c r="J24" i="20"/>
  <c r="J23" i="20"/>
  <c r="J22" i="20"/>
  <c r="J21" i="20"/>
  <c r="J20" i="20"/>
  <c r="J19" i="20"/>
  <c r="J11" i="20"/>
  <c r="J10" i="20"/>
  <c r="J9" i="20"/>
  <c r="J8" i="20"/>
  <c r="J7" i="20"/>
  <c r="J6" i="20"/>
  <c r="J5" i="20"/>
  <c r="J4" i="20"/>
  <c r="C36" i="23"/>
  <c r="E24" i="21"/>
  <c r="N5" i="17" a="1"/>
  <c r="N5" i="17" l="1"/>
  <c r="A36" i="23" l="1"/>
  <c r="A34" i="23"/>
  <c r="A32" i="23"/>
  <c r="C24" i="21"/>
  <c r="C22" i="21"/>
  <c r="E22" i="21" l="1"/>
  <c r="C50" i="21"/>
  <c r="C44" i="21"/>
  <c r="C36" i="21"/>
  <c r="C34" i="21"/>
  <c r="C32" i="21"/>
  <c r="C30" i="21"/>
  <c r="C28" i="21"/>
  <c r="C26" i="21"/>
  <c r="C20" i="21" l="1"/>
  <c r="V5" i="17" a="1"/>
  <c r="F5" i="17" a="1"/>
  <c r="AD5" i="17" a="1"/>
  <c r="AD5" i="17" l="1"/>
  <c r="V5" i="17"/>
  <c r="F5" i="17"/>
  <c r="J28" i="20" l="1"/>
  <c r="J13" i="20"/>
  <c r="A30" i="23"/>
  <c r="A28" i="23"/>
  <c r="A26" i="23"/>
  <c r="A24" i="23"/>
  <c r="A22" i="23"/>
  <c r="C48" i="21" l="1"/>
  <c r="C46" i="21"/>
  <c r="C42" i="21"/>
  <c r="C40" i="21"/>
  <c r="C38" i="21"/>
  <c r="H14" i="17" l="1"/>
  <c r="D15" i="1" s="1"/>
  <c r="H22" i="17"/>
  <c r="D23" i="1" s="1"/>
  <c r="H30" i="17"/>
  <c r="D31" i="1" s="1"/>
  <c r="H38" i="17"/>
  <c r="D39" i="1" s="1"/>
  <c r="H46" i="17"/>
  <c r="D47" i="1" s="1"/>
  <c r="H54" i="17"/>
  <c r="D55" i="1" s="1"/>
  <c r="H15" i="17"/>
  <c r="D16" i="1" s="1"/>
  <c r="H23" i="17"/>
  <c r="D24" i="1" s="1"/>
  <c r="H31" i="17"/>
  <c r="D32" i="1" s="1"/>
  <c r="H39" i="17"/>
  <c r="D40" i="1" s="1"/>
  <c r="H47" i="17"/>
  <c r="D48" i="1" s="1"/>
  <c r="H9" i="17"/>
  <c r="D10" i="1" s="1"/>
  <c r="H19" i="17"/>
  <c r="D20" i="1" s="1"/>
  <c r="H29" i="17"/>
  <c r="D30" i="1" s="1"/>
  <c r="H41" i="17"/>
  <c r="D42" i="1" s="1"/>
  <c r="H51" i="17"/>
  <c r="D52" i="1" s="1"/>
  <c r="H20" i="17"/>
  <c r="D21" i="1" s="1"/>
  <c r="H32" i="17"/>
  <c r="D33" i="1" s="1"/>
  <c r="H42" i="17"/>
  <c r="D43" i="1" s="1"/>
  <c r="H52" i="17"/>
  <c r="D53" i="1" s="1"/>
  <c r="H11" i="17"/>
  <c r="D12" i="1" s="1"/>
  <c r="H43" i="17"/>
  <c r="D44" i="1" s="1"/>
  <c r="H12" i="17"/>
  <c r="D13" i="1" s="1"/>
  <c r="H44" i="17"/>
  <c r="D45" i="1" s="1"/>
  <c r="H25" i="17"/>
  <c r="D26" i="1" s="1"/>
  <c r="H16" i="17"/>
  <c r="D17" i="1" s="1"/>
  <c r="H48" i="17"/>
  <c r="D49" i="1" s="1"/>
  <c r="H37" i="17"/>
  <c r="D38" i="1" s="1"/>
  <c r="H10" i="17"/>
  <c r="D11" i="1" s="1"/>
  <c r="H21" i="17"/>
  <c r="D22" i="1" s="1"/>
  <c r="H53" i="17"/>
  <c r="D54" i="1" s="1"/>
  <c r="H34" i="17"/>
  <c r="D35" i="1" s="1"/>
  <c r="H13" i="17"/>
  <c r="D14" i="1" s="1"/>
  <c r="H45" i="17"/>
  <c r="D46" i="1" s="1"/>
  <c r="H26" i="17"/>
  <c r="D27" i="1" s="1"/>
  <c r="H27" i="17"/>
  <c r="D28" i="1" s="1"/>
  <c r="H33" i="17"/>
  <c r="D34" i="1" s="1"/>
  <c r="H24" i="17"/>
  <c r="D25" i="1" s="1"/>
  <c r="H7" i="17"/>
  <c r="D8" i="1" s="1"/>
  <c r="H35" i="17"/>
  <c r="D36" i="1" s="1"/>
  <c r="H36" i="17"/>
  <c r="D37" i="1" s="1"/>
  <c r="H17" i="17"/>
  <c r="D18" i="1" s="1"/>
  <c r="H49" i="17"/>
  <c r="D50" i="1" s="1"/>
  <c r="H8" i="17"/>
  <c r="D9" i="1" s="1"/>
  <c r="H18" i="17"/>
  <c r="D19" i="1" s="1"/>
  <c r="H28" i="17"/>
  <c r="D29" i="1" s="1"/>
  <c r="H40" i="17"/>
  <c r="D41" i="1" s="1"/>
  <c r="H50" i="17"/>
  <c r="D51" i="1" s="1"/>
  <c r="X14" i="17"/>
  <c r="H15" i="1" s="1"/>
  <c r="X22" i="17"/>
  <c r="H23" i="1" s="1"/>
  <c r="X30" i="17"/>
  <c r="H31" i="1" s="1"/>
  <c r="X38" i="17"/>
  <c r="H39" i="1" s="1"/>
  <c r="X46" i="17"/>
  <c r="H47" i="1" s="1"/>
  <c r="X54" i="17"/>
  <c r="H55" i="1" s="1"/>
  <c r="X15" i="17"/>
  <c r="H16" i="1" s="1"/>
  <c r="X23" i="17"/>
  <c r="H24" i="1" s="1"/>
  <c r="X31" i="17"/>
  <c r="H32" i="1" s="1"/>
  <c r="X39" i="17"/>
  <c r="H40" i="1" s="1"/>
  <c r="X47" i="17"/>
  <c r="H48" i="1" s="1"/>
  <c r="X7" i="17"/>
  <c r="H8" i="1" s="1"/>
  <c r="X9" i="17"/>
  <c r="H10" i="1" s="1"/>
  <c r="X19" i="17"/>
  <c r="H20" i="1" s="1"/>
  <c r="X29" i="17"/>
  <c r="H30" i="1" s="1"/>
  <c r="X41" i="17"/>
  <c r="H42" i="1" s="1"/>
  <c r="X51" i="17"/>
  <c r="H52" i="1" s="1"/>
  <c r="X21" i="17"/>
  <c r="H22" i="1" s="1"/>
  <c r="X43" i="17"/>
  <c r="H44" i="1" s="1"/>
  <c r="X34" i="17"/>
  <c r="H35" i="1" s="1"/>
  <c r="X25" i="17"/>
  <c r="H26" i="1" s="1"/>
  <c r="X16" i="17"/>
  <c r="H17" i="1" s="1"/>
  <c r="X48" i="17"/>
  <c r="H49" i="1" s="1"/>
  <c r="X17" i="17"/>
  <c r="H18" i="1" s="1"/>
  <c r="X37" i="17"/>
  <c r="H38" i="1" s="1"/>
  <c r="X10" i="17"/>
  <c r="H11" i="1" s="1"/>
  <c r="X20" i="17"/>
  <c r="H21" i="1" s="1"/>
  <c r="X32" i="17"/>
  <c r="H33" i="1" s="1"/>
  <c r="X42" i="17"/>
  <c r="H43" i="1" s="1"/>
  <c r="X52" i="17"/>
  <c r="H53" i="1" s="1"/>
  <c r="X33" i="17"/>
  <c r="H34" i="1" s="1"/>
  <c r="X24" i="17"/>
  <c r="H25" i="1" s="1"/>
  <c r="X13" i="17"/>
  <c r="H14" i="1" s="1"/>
  <c r="X45" i="17"/>
  <c r="H46" i="1" s="1"/>
  <c r="X26" i="17"/>
  <c r="H27" i="1" s="1"/>
  <c r="X49" i="17"/>
  <c r="H50" i="1" s="1"/>
  <c r="X11" i="17"/>
  <c r="H12" i="1" s="1"/>
  <c r="X53" i="17"/>
  <c r="H54" i="1" s="1"/>
  <c r="X12" i="17"/>
  <c r="H13" i="1" s="1"/>
  <c r="X44" i="17"/>
  <c r="H45" i="1" s="1"/>
  <c r="X35" i="17"/>
  <c r="H36" i="1" s="1"/>
  <c r="X36" i="17"/>
  <c r="H37" i="1" s="1"/>
  <c r="X27" i="17"/>
  <c r="H28" i="1" s="1"/>
  <c r="X8" i="17"/>
  <c r="H9" i="1" s="1"/>
  <c r="X18" i="17"/>
  <c r="H19" i="1" s="1"/>
  <c r="X28" i="17"/>
  <c r="H29" i="1" s="1"/>
  <c r="X40" i="17"/>
  <c r="H41" i="1" s="1"/>
  <c r="X50" i="17"/>
  <c r="H51" i="1" s="1"/>
  <c r="P13" i="17"/>
  <c r="F14" i="1" s="1"/>
  <c r="P21" i="17"/>
  <c r="F22" i="1" s="1"/>
  <c r="P29" i="17"/>
  <c r="F30" i="1" s="1"/>
  <c r="P37" i="17"/>
  <c r="F38" i="1" s="1"/>
  <c r="P45" i="17"/>
  <c r="F46" i="1" s="1"/>
  <c r="P53" i="17"/>
  <c r="F54" i="1" s="1"/>
  <c r="P14" i="17"/>
  <c r="F15" i="1" s="1"/>
  <c r="P22" i="17"/>
  <c r="F23" i="1" s="1"/>
  <c r="P30" i="17"/>
  <c r="F31" i="1" s="1"/>
  <c r="P38" i="17"/>
  <c r="F39" i="1" s="1"/>
  <c r="P46" i="17"/>
  <c r="F47" i="1" s="1"/>
  <c r="P7" i="17"/>
  <c r="F8" i="1" s="1"/>
  <c r="P8" i="17"/>
  <c r="F9" i="1" s="1"/>
  <c r="P18" i="17"/>
  <c r="F19" i="1" s="1"/>
  <c r="P28" i="17"/>
  <c r="F29" i="1" s="1"/>
  <c r="P40" i="17"/>
  <c r="F41" i="1" s="1"/>
  <c r="P50" i="17"/>
  <c r="F51" i="1" s="1"/>
  <c r="P19" i="17"/>
  <c r="F20" i="1" s="1"/>
  <c r="P41" i="17"/>
  <c r="F42" i="1" s="1"/>
  <c r="P51" i="17"/>
  <c r="F52" i="1" s="1"/>
  <c r="P10" i="17"/>
  <c r="F11" i="1" s="1"/>
  <c r="P32" i="17"/>
  <c r="F33" i="1" s="1"/>
  <c r="P52" i="17"/>
  <c r="F53" i="1" s="1"/>
  <c r="P33" i="17"/>
  <c r="F34" i="1" s="1"/>
  <c r="P24" i="17"/>
  <c r="F25" i="1" s="1"/>
  <c r="P15" i="17"/>
  <c r="F16" i="1" s="1"/>
  <c r="P47" i="17"/>
  <c r="F48" i="1" s="1"/>
  <c r="P36" i="17"/>
  <c r="F37" i="1" s="1"/>
  <c r="P9" i="17"/>
  <c r="F10" i="1" s="1"/>
  <c r="P31" i="17"/>
  <c r="F32" i="1" s="1"/>
  <c r="P20" i="17"/>
  <c r="F21" i="1" s="1"/>
  <c r="P42" i="17"/>
  <c r="F43" i="1" s="1"/>
  <c r="P23" i="17"/>
  <c r="F24" i="1" s="1"/>
  <c r="P12" i="17"/>
  <c r="F13" i="1" s="1"/>
  <c r="P44" i="17"/>
  <c r="F45" i="1" s="1"/>
  <c r="P25" i="17"/>
  <c r="F26" i="1" s="1"/>
  <c r="P16" i="17"/>
  <c r="F17" i="1" s="1"/>
  <c r="P11" i="17"/>
  <c r="F12" i="1" s="1"/>
  <c r="P43" i="17"/>
  <c r="F44" i="1" s="1"/>
  <c r="P34" i="17"/>
  <c r="F35" i="1" s="1"/>
  <c r="P35" i="17"/>
  <c r="F36" i="1" s="1"/>
  <c r="P26" i="17"/>
  <c r="F27" i="1" s="1"/>
  <c r="P48" i="17"/>
  <c r="F49" i="1" s="1"/>
  <c r="P54" i="17"/>
  <c r="F55" i="1" s="1"/>
  <c r="P17" i="17"/>
  <c r="F18" i="1" s="1"/>
  <c r="P27" i="17"/>
  <c r="F28" i="1" s="1"/>
  <c r="P39" i="17"/>
  <c r="F40" i="1" s="1"/>
  <c r="P49" i="17"/>
  <c r="F50" i="1" s="1"/>
  <c r="AF14" i="17"/>
  <c r="J15" i="1" s="1"/>
  <c r="AF22" i="17"/>
  <c r="J23" i="1" s="1"/>
  <c r="AF30" i="17"/>
  <c r="J31" i="1" s="1"/>
  <c r="AF38" i="17"/>
  <c r="J39" i="1" s="1"/>
  <c r="AF46" i="17"/>
  <c r="J47" i="1" s="1"/>
  <c r="AF54" i="17"/>
  <c r="J55" i="1" s="1"/>
  <c r="AF15" i="17"/>
  <c r="J16" i="1" s="1"/>
  <c r="AF23" i="17"/>
  <c r="J24" i="1" s="1"/>
  <c r="AF31" i="17"/>
  <c r="J32" i="1" s="1"/>
  <c r="AF39" i="17"/>
  <c r="J40" i="1" s="1"/>
  <c r="AF47" i="17"/>
  <c r="J48" i="1" s="1"/>
  <c r="AF7" i="17"/>
  <c r="J8" i="1" s="1"/>
  <c r="AF9" i="17"/>
  <c r="J10" i="1" s="1"/>
  <c r="AF19" i="17"/>
  <c r="J20" i="1" s="1"/>
  <c r="AF29" i="17"/>
  <c r="J30" i="1" s="1"/>
  <c r="AF41" i="17"/>
  <c r="J42" i="1" s="1"/>
  <c r="AF51" i="17"/>
  <c r="J52" i="1" s="1"/>
  <c r="AF21" i="17"/>
  <c r="J22" i="1" s="1"/>
  <c r="AF43" i="17"/>
  <c r="J44" i="1" s="1"/>
  <c r="AF53" i="17"/>
  <c r="J54" i="1" s="1"/>
  <c r="AF24" i="17"/>
  <c r="J25" i="1" s="1"/>
  <c r="AF13" i="17"/>
  <c r="J14" i="1" s="1"/>
  <c r="AF45" i="17"/>
  <c r="J46" i="1" s="1"/>
  <c r="AF27" i="17"/>
  <c r="J28" i="1" s="1"/>
  <c r="AF49" i="17"/>
  <c r="J50" i="1" s="1"/>
  <c r="AF10" i="17"/>
  <c r="J11" i="1" s="1"/>
  <c r="AF20" i="17"/>
  <c r="J21" i="1" s="1"/>
  <c r="AF32" i="17"/>
  <c r="J33" i="1" s="1"/>
  <c r="AF42" i="17"/>
  <c r="J43" i="1" s="1"/>
  <c r="AF52" i="17"/>
  <c r="J53" i="1" s="1"/>
  <c r="AF12" i="17"/>
  <c r="J13" i="1" s="1"/>
  <c r="AF44" i="17"/>
  <c r="J45" i="1" s="1"/>
  <c r="AF35" i="17"/>
  <c r="J36" i="1" s="1"/>
  <c r="AF26" i="17"/>
  <c r="J27" i="1" s="1"/>
  <c r="AF48" i="17"/>
  <c r="J49" i="1" s="1"/>
  <c r="AF11" i="17"/>
  <c r="J12" i="1" s="1"/>
  <c r="AF33" i="17"/>
  <c r="J34" i="1" s="1"/>
  <c r="AF34" i="17"/>
  <c r="J35" i="1" s="1"/>
  <c r="AF25" i="17"/>
  <c r="J26" i="1" s="1"/>
  <c r="AF16" i="17"/>
  <c r="J17" i="1" s="1"/>
  <c r="AF36" i="17"/>
  <c r="J37" i="1" s="1"/>
  <c r="AF17" i="17"/>
  <c r="J18" i="1" s="1"/>
  <c r="AF37" i="17"/>
  <c r="J38" i="1" s="1"/>
  <c r="AF8" i="17"/>
  <c r="J9" i="1" s="1"/>
  <c r="AF18" i="17"/>
  <c r="J19" i="1" s="1"/>
  <c r="AF28" i="17"/>
  <c r="J29" i="1" s="1"/>
  <c r="AF40" i="17"/>
  <c r="J41" i="1" s="1"/>
  <c r="AF50" i="17"/>
  <c r="J51" i="1" s="1"/>
  <c r="Z5" i="17" a="1"/>
  <c r="J5" i="17" a="1"/>
  <c r="R5" i="17" a="1"/>
  <c r="H56" i="1" l="1"/>
  <c r="G9" i="20" s="1"/>
  <c r="L30" i="17"/>
  <c r="E31" i="1" s="1"/>
  <c r="L47" i="17"/>
  <c r="E48" i="1" s="1"/>
  <c r="L48" i="17"/>
  <c r="E49" i="1" s="1"/>
  <c r="L53" i="17"/>
  <c r="E54" i="1" s="1"/>
  <c r="L42" i="17"/>
  <c r="E43" i="1" s="1"/>
  <c r="L52" i="17"/>
  <c r="E53" i="1" s="1"/>
  <c r="L46" i="17"/>
  <c r="E47" i="1" s="1"/>
  <c r="L13" i="17"/>
  <c r="E14" i="1" s="1"/>
  <c r="L8" i="17"/>
  <c r="E9" i="1" s="1"/>
  <c r="L27" i="17"/>
  <c r="E28" i="1" s="1"/>
  <c r="L43" i="17"/>
  <c r="E44" i="1" s="1"/>
  <c r="L12" i="17"/>
  <c r="E13" i="1" s="1"/>
  <c r="L54" i="17"/>
  <c r="E55" i="1" s="1"/>
  <c r="L25" i="17"/>
  <c r="E26" i="1" s="1"/>
  <c r="L40" i="17"/>
  <c r="E41" i="1" s="1"/>
  <c r="L49" i="17"/>
  <c r="E50" i="1" s="1"/>
  <c r="L17" i="17"/>
  <c r="E18" i="1" s="1"/>
  <c r="L24" i="17"/>
  <c r="E25" i="1" s="1"/>
  <c r="L7" i="17"/>
  <c r="E8" i="1" s="1"/>
  <c r="L15" i="17"/>
  <c r="E16" i="1" s="1"/>
  <c r="L35" i="17"/>
  <c r="E36" i="1" s="1"/>
  <c r="L9" i="17"/>
  <c r="E10" i="1" s="1"/>
  <c r="L18" i="17"/>
  <c r="E19" i="1" s="1"/>
  <c r="L28" i="17"/>
  <c r="E29" i="1" s="1"/>
  <c r="L34" i="17"/>
  <c r="E35" i="1" s="1"/>
  <c r="J5" i="17"/>
  <c r="L38" i="17"/>
  <c r="E39" i="1" s="1"/>
  <c r="L37" i="17"/>
  <c r="E38" i="1" s="1"/>
  <c r="L16" i="17"/>
  <c r="E17" i="1" s="1"/>
  <c r="L11" i="17"/>
  <c r="E12" i="1" s="1"/>
  <c r="L33" i="17"/>
  <c r="E34" i="1" s="1"/>
  <c r="L23" i="17"/>
  <c r="E24" i="1" s="1"/>
  <c r="L45" i="17"/>
  <c r="E46" i="1" s="1"/>
  <c r="L41" i="17"/>
  <c r="E42" i="1" s="1"/>
  <c r="L50" i="17"/>
  <c r="E51" i="1" s="1"/>
  <c r="L19" i="17"/>
  <c r="E20" i="1" s="1"/>
  <c r="L44" i="17"/>
  <c r="E45" i="1" s="1"/>
  <c r="L14" i="17"/>
  <c r="E15" i="1" s="1"/>
  <c r="L31" i="17"/>
  <c r="E32" i="1" s="1"/>
  <c r="L26" i="17"/>
  <c r="E27" i="1" s="1"/>
  <c r="L32" i="17"/>
  <c r="E33" i="1" s="1"/>
  <c r="L29" i="17"/>
  <c r="E30" i="1" s="1"/>
  <c r="L51" i="17"/>
  <c r="E52" i="1" s="1"/>
  <c r="L22" i="17"/>
  <c r="E23" i="1" s="1"/>
  <c r="L39" i="17"/>
  <c r="E40" i="1" s="1"/>
  <c r="L36" i="17"/>
  <c r="E37" i="1" s="1"/>
  <c r="L21" i="17"/>
  <c r="E22" i="1" s="1"/>
  <c r="L10" i="17"/>
  <c r="E11" i="1" s="1"/>
  <c r="L20" i="17"/>
  <c r="E21" i="1" s="1"/>
  <c r="D23" i="17"/>
  <c r="C24" i="1" s="1"/>
  <c r="D42" i="17"/>
  <c r="C43" i="1" s="1"/>
  <c r="D44" i="17"/>
  <c r="C45" i="1" s="1"/>
  <c r="D37" i="17"/>
  <c r="C38" i="1" s="1"/>
  <c r="D15" i="17"/>
  <c r="C16" i="1" s="1"/>
  <c r="D53" i="17"/>
  <c r="C54" i="1" s="1"/>
  <c r="D18" i="17"/>
  <c r="C19" i="1" s="1"/>
  <c r="D21" i="17"/>
  <c r="C22" i="1" s="1"/>
  <c r="D51" i="17"/>
  <c r="C52" i="1" s="1"/>
  <c r="D26" i="17"/>
  <c r="C27" i="1" s="1"/>
  <c r="D29" i="17"/>
  <c r="C30" i="1" s="1"/>
  <c r="D19" i="17"/>
  <c r="C20" i="1" s="1"/>
  <c r="D33" i="17"/>
  <c r="C34" i="1" s="1"/>
  <c r="D35" i="17"/>
  <c r="C36" i="1" s="1"/>
  <c r="D10" i="17"/>
  <c r="C11" i="1" s="1"/>
  <c r="D40" i="17"/>
  <c r="C41" i="1" s="1"/>
  <c r="D43" i="17"/>
  <c r="C44" i="1" s="1"/>
  <c r="D47" i="17"/>
  <c r="C48" i="1" s="1"/>
  <c r="D20" i="17"/>
  <c r="C21" i="1" s="1"/>
  <c r="D49" i="17"/>
  <c r="C50" i="1" s="1"/>
  <c r="D24" i="17"/>
  <c r="C25" i="1" s="1"/>
  <c r="D54" i="17"/>
  <c r="C55" i="1" s="1"/>
  <c r="D16" i="17"/>
  <c r="C17" i="1" s="1"/>
  <c r="D34" i="17"/>
  <c r="C35" i="1" s="1"/>
  <c r="D46" i="17"/>
  <c r="C47" i="1" s="1"/>
  <c r="D22" i="17"/>
  <c r="C23" i="1" s="1"/>
  <c r="D38" i="17"/>
  <c r="C39" i="1" s="1"/>
  <c r="D27" i="17"/>
  <c r="C28" i="1" s="1"/>
  <c r="D30" i="17"/>
  <c r="C31" i="1" s="1"/>
  <c r="D48" i="17"/>
  <c r="C49" i="1" s="1"/>
  <c r="D11" i="17"/>
  <c r="C12" i="1" s="1"/>
  <c r="D36" i="17"/>
  <c r="C37" i="1" s="1"/>
  <c r="D52" i="17"/>
  <c r="C53" i="1" s="1"/>
  <c r="D41" i="17"/>
  <c r="C42" i="1" s="1"/>
  <c r="D17" i="17"/>
  <c r="C18" i="1" s="1"/>
  <c r="D8" i="17"/>
  <c r="C9" i="1" s="1"/>
  <c r="D12" i="17"/>
  <c r="C13" i="1" s="1"/>
  <c r="D50" i="17"/>
  <c r="C51" i="1" s="1"/>
  <c r="D25" i="17"/>
  <c r="C26" i="1" s="1"/>
  <c r="D28" i="17"/>
  <c r="C29" i="1" s="1"/>
  <c r="D31" i="17"/>
  <c r="C32" i="1" s="1"/>
  <c r="D9" i="17"/>
  <c r="C10" i="1" s="1"/>
  <c r="D13" i="17"/>
  <c r="C14" i="1" s="1"/>
  <c r="D39" i="17"/>
  <c r="C40" i="1" s="1"/>
  <c r="D45" i="17"/>
  <c r="C46" i="1" s="1"/>
  <c r="D14" i="17"/>
  <c r="C15" i="1" s="1"/>
  <c r="D7" i="17"/>
  <c r="C8" i="1" s="1"/>
  <c r="D32" i="17"/>
  <c r="C33" i="1" s="1"/>
  <c r="AB7" i="17"/>
  <c r="I8" i="1" s="1"/>
  <c r="AB30" i="17"/>
  <c r="I31" i="1" s="1"/>
  <c r="AB47" i="17"/>
  <c r="I48" i="1" s="1"/>
  <c r="AB28" i="17"/>
  <c r="I29" i="1" s="1"/>
  <c r="AB26" i="17"/>
  <c r="I27" i="1" s="1"/>
  <c r="AB18" i="17"/>
  <c r="I19" i="1" s="1"/>
  <c r="AB53" i="17"/>
  <c r="I54" i="1" s="1"/>
  <c r="AB38" i="17"/>
  <c r="I39" i="1" s="1"/>
  <c r="AB13" i="17"/>
  <c r="I14" i="1" s="1"/>
  <c r="AB50" i="17"/>
  <c r="I51" i="1" s="1"/>
  <c r="AB36" i="17"/>
  <c r="I37" i="1" s="1"/>
  <c r="AB9" i="17"/>
  <c r="I10" i="1" s="1"/>
  <c r="AB12" i="17"/>
  <c r="I13" i="1" s="1"/>
  <c r="AB46" i="17"/>
  <c r="I47" i="1" s="1"/>
  <c r="AB25" i="17"/>
  <c r="I26" i="1" s="1"/>
  <c r="AB19" i="17"/>
  <c r="I20" i="1" s="1"/>
  <c r="AB48" i="17"/>
  <c r="I49" i="1" s="1"/>
  <c r="AB29" i="17"/>
  <c r="I30" i="1" s="1"/>
  <c r="AB24" i="17"/>
  <c r="I25" i="1" s="1"/>
  <c r="AB54" i="17"/>
  <c r="I55" i="1" s="1"/>
  <c r="AB35" i="17"/>
  <c r="I36" i="1" s="1"/>
  <c r="AB41" i="17"/>
  <c r="I42" i="1" s="1"/>
  <c r="AB37" i="17"/>
  <c r="I38" i="1" s="1"/>
  <c r="AB51" i="17"/>
  <c r="I52" i="1" s="1"/>
  <c r="AB34" i="17"/>
  <c r="I35" i="1" s="1"/>
  <c r="AB15" i="17"/>
  <c r="I16" i="1" s="1"/>
  <c r="AB45" i="17"/>
  <c r="I46" i="1" s="1"/>
  <c r="AB32" i="17"/>
  <c r="I33" i="1" s="1"/>
  <c r="AB40" i="17"/>
  <c r="I41" i="1" s="1"/>
  <c r="AB10" i="17"/>
  <c r="I11" i="1" s="1"/>
  <c r="AB44" i="17"/>
  <c r="I45" i="1" s="1"/>
  <c r="Z5" i="17"/>
  <c r="AB23" i="17"/>
  <c r="I24" i="1" s="1"/>
  <c r="AB27" i="17"/>
  <c r="I28" i="1" s="1"/>
  <c r="AB21" i="17"/>
  <c r="I22" i="1" s="1"/>
  <c r="AB20" i="17"/>
  <c r="I21" i="1" s="1"/>
  <c r="AB42" i="17"/>
  <c r="I43" i="1" s="1"/>
  <c r="AB14" i="17"/>
  <c r="I15" i="1" s="1"/>
  <c r="AB31" i="17"/>
  <c r="I32" i="1" s="1"/>
  <c r="AB49" i="17"/>
  <c r="I50" i="1" s="1"/>
  <c r="AB43" i="17"/>
  <c r="I44" i="1" s="1"/>
  <c r="AB52" i="17"/>
  <c r="I53" i="1" s="1"/>
  <c r="AB11" i="17"/>
  <c r="I12" i="1" s="1"/>
  <c r="AB22" i="17"/>
  <c r="I23" i="1" s="1"/>
  <c r="AB39" i="17"/>
  <c r="I40" i="1" s="1"/>
  <c r="AB8" i="17"/>
  <c r="I9" i="1" s="1"/>
  <c r="AB16" i="17"/>
  <c r="I17" i="1" s="1"/>
  <c r="AB17" i="17"/>
  <c r="I18" i="1" s="1"/>
  <c r="AB33" i="17"/>
  <c r="I34" i="1" s="1"/>
  <c r="T13" i="17"/>
  <c r="G14" i="1" s="1"/>
  <c r="T12" i="17"/>
  <c r="G13" i="1" s="1"/>
  <c r="T25" i="17"/>
  <c r="G26" i="1" s="1"/>
  <c r="T28" i="17"/>
  <c r="G29" i="1" s="1"/>
  <c r="T54" i="17"/>
  <c r="G55" i="1" s="1"/>
  <c r="T24" i="17"/>
  <c r="G25" i="1" s="1"/>
  <c r="T15" i="17"/>
  <c r="G16" i="1" s="1"/>
  <c r="T35" i="17"/>
  <c r="G36" i="1" s="1"/>
  <c r="T32" i="17"/>
  <c r="G33" i="1" s="1"/>
  <c r="T37" i="17"/>
  <c r="G38" i="1" s="1"/>
  <c r="T19" i="17"/>
  <c r="G20" i="1" s="1"/>
  <c r="T34" i="17"/>
  <c r="G35" i="1" s="1"/>
  <c r="T23" i="17"/>
  <c r="G24" i="1" s="1"/>
  <c r="T45" i="17"/>
  <c r="G46" i="1" s="1"/>
  <c r="T21" i="17"/>
  <c r="G22" i="1" s="1"/>
  <c r="T8" i="17"/>
  <c r="G9" i="1" s="1"/>
  <c r="T51" i="17"/>
  <c r="G52" i="1" s="1"/>
  <c r="T44" i="17"/>
  <c r="G45" i="1" s="1"/>
  <c r="T14" i="17"/>
  <c r="G15" i="1" s="1"/>
  <c r="T31" i="17"/>
  <c r="G32" i="1" s="1"/>
  <c r="T36" i="17"/>
  <c r="G37" i="1" s="1"/>
  <c r="T33" i="17"/>
  <c r="G34" i="1" s="1"/>
  <c r="T40" i="17"/>
  <c r="G41" i="1" s="1"/>
  <c r="T20" i="17"/>
  <c r="G21" i="1" s="1"/>
  <c r="T22" i="17"/>
  <c r="G23" i="1" s="1"/>
  <c r="T39" i="17"/>
  <c r="G40" i="1" s="1"/>
  <c r="T27" i="17"/>
  <c r="G28" i="1" s="1"/>
  <c r="T53" i="17"/>
  <c r="G54" i="1" s="1"/>
  <c r="T29" i="17"/>
  <c r="G30" i="1" s="1"/>
  <c r="T52" i="17"/>
  <c r="G53" i="1" s="1"/>
  <c r="T30" i="17"/>
  <c r="G31" i="1" s="1"/>
  <c r="T47" i="17"/>
  <c r="G48" i="1" s="1"/>
  <c r="T18" i="17"/>
  <c r="G19" i="1" s="1"/>
  <c r="T16" i="17"/>
  <c r="G17" i="1" s="1"/>
  <c r="T10" i="17"/>
  <c r="G11" i="1" s="1"/>
  <c r="T11" i="17"/>
  <c r="G12" i="1" s="1"/>
  <c r="R5" i="17"/>
  <c r="T38" i="17"/>
  <c r="G39" i="1" s="1"/>
  <c r="T7" i="17"/>
  <c r="G8" i="1" s="1"/>
  <c r="T50" i="17"/>
  <c r="G51" i="1" s="1"/>
  <c r="T26" i="17"/>
  <c r="G27" i="1" s="1"/>
  <c r="T42" i="17"/>
  <c r="G43" i="1" s="1"/>
  <c r="T43" i="17"/>
  <c r="G44" i="1" s="1"/>
  <c r="T46" i="17"/>
  <c r="G47" i="1" s="1"/>
  <c r="T9" i="17"/>
  <c r="G10" i="1" s="1"/>
  <c r="T48" i="17"/>
  <c r="G49" i="1" s="1"/>
  <c r="T49" i="17"/>
  <c r="G50" i="1" s="1"/>
  <c r="T41" i="17"/>
  <c r="G42" i="1" s="1"/>
  <c r="T17" i="17"/>
  <c r="G18" i="1" s="1"/>
  <c r="D56" i="1"/>
  <c r="H57" i="1"/>
  <c r="J57" i="1"/>
  <c r="H11" i="20" s="1"/>
  <c r="J56" i="1"/>
  <c r="G11" i="20" s="1"/>
  <c r="F56" i="1"/>
  <c r="G7" i="20" s="1"/>
  <c r="F57" i="1"/>
  <c r="H7" i="20" s="1"/>
  <c r="D57" i="1"/>
  <c r="H5" i="20" s="1"/>
  <c r="U11" i="1"/>
  <c r="X55" i="17"/>
  <c r="H55" i="17"/>
  <c r="AF55" i="17"/>
  <c r="P55" i="17"/>
  <c r="AB55" i="17" l="1"/>
  <c r="C56" i="1"/>
  <c r="G4" i="20" s="1"/>
  <c r="V11" i="1"/>
  <c r="H9" i="20"/>
  <c r="L55" i="17"/>
  <c r="U7" i="1"/>
  <c r="G5" i="20"/>
  <c r="C57" i="1"/>
  <c r="H4" i="20" s="1"/>
  <c r="D55" i="17"/>
  <c r="T55" i="17"/>
  <c r="I57" i="1"/>
  <c r="I56" i="1"/>
  <c r="E57" i="1"/>
  <c r="E56" i="1"/>
  <c r="G57" i="1"/>
  <c r="G56" i="1"/>
  <c r="V7" i="1"/>
  <c r="U13" i="1"/>
  <c r="V13" i="1"/>
  <c r="V9" i="1"/>
  <c r="U9" i="1"/>
  <c r="U6" i="1"/>
  <c r="U10" i="1" l="1"/>
  <c r="G8" i="20"/>
  <c r="V6" i="1"/>
  <c r="V10" i="1"/>
  <c r="H8" i="20"/>
  <c r="U8" i="1"/>
  <c r="G6" i="20"/>
  <c r="U12" i="1"/>
  <c r="G10" i="20"/>
  <c r="V8" i="1"/>
  <c r="H6" i="20"/>
  <c r="V12" i="1"/>
  <c r="H10" i="20"/>
  <c r="C18" i="23"/>
  <c r="E28" i="20" s="1"/>
  <c r="E13" i="2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9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0"/>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1"/>
        </ext>
      </extLst>
    </bk>
    <bk>
      <extLst>
        <ext uri="{3e2802c4-a4d2-4d8b-9148-e3be6c30e623}">
          <xlrd:rvb i="282"/>
        </ext>
      </extLst>
    </bk>
    <bk>
      <extLst>
        <ext uri="{3e2802c4-a4d2-4d8b-9148-e3be6c30e623}">
          <xlrd:rvb i="283"/>
        </ext>
      </extLst>
    </bk>
    <bk>
      <extLst>
        <ext uri="{3e2802c4-a4d2-4d8b-9148-e3be6c30e623}">
          <xlrd:rvb i="284"/>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1"/>
        </ext>
      </extLst>
    </bk>
    <bk>
      <extLst>
        <ext uri="{3e2802c4-a4d2-4d8b-9148-e3be6c30e623}">
          <xlrd:rvb i="292"/>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6"/>
        </ext>
      </extLst>
    </bk>
    <bk>
      <extLst>
        <ext uri="{3e2802c4-a4d2-4d8b-9148-e3be6c30e623}">
          <xlrd:rvb i="297"/>
        </ext>
      </extLst>
    </bk>
    <bk>
      <extLst>
        <ext uri="{3e2802c4-a4d2-4d8b-9148-e3be6c30e623}">
          <xlrd:rvb i="298"/>
        </ext>
      </extLst>
    </bk>
    <bk>
      <extLst>
        <ext uri="{3e2802c4-a4d2-4d8b-9148-e3be6c30e623}">
          <xlrd:rvb i="299"/>
        </ext>
      </extLst>
    </bk>
    <bk>
      <extLst>
        <ext uri="{3e2802c4-a4d2-4d8b-9148-e3be6c30e623}">
          <xlrd:rvb i="300"/>
        </ext>
      </extLst>
    </bk>
    <bk>
      <extLst>
        <ext uri="{3e2802c4-a4d2-4d8b-9148-e3be6c30e623}">
          <xlrd:rvb i="301"/>
        </ext>
      </extLst>
    </bk>
    <bk>
      <extLst>
        <ext uri="{3e2802c4-a4d2-4d8b-9148-e3be6c30e623}">
          <xlrd:rvb i="302"/>
        </ext>
      </extLst>
    </bk>
    <bk>
      <extLst>
        <ext uri="{3e2802c4-a4d2-4d8b-9148-e3be6c30e623}">
          <xlrd:rvb i="303"/>
        </ext>
      </extLst>
    </bk>
    <bk>
      <extLst>
        <ext uri="{3e2802c4-a4d2-4d8b-9148-e3be6c30e623}">
          <xlrd:rvb i="304"/>
        </ext>
      </extLst>
    </bk>
    <bk>
      <extLst>
        <ext uri="{3e2802c4-a4d2-4d8b-9148-e3be6c30e623}">
          <xlrd:rvb i="305"/>
        </ext>
      </extLst>
    </bk>
    <bk>
      <extLst>
        <ext uri="{3e2802c4-a4d2-4d8b-9148-e3be6c30e623}">
          <xlrd:rvb i="306"/>
        </ext>
      </extLst>
    </bk>
    <bk>
      <extLst>
        <ext uri="{3e2802c4-a4d2-4d8b-9148-e3be6c30e623}">
          <xlrd:rvb i="307"/>
        </ext>
      </extLst>
    </bk>
    <bk>
      <extLst>
        <ext uri="{3e2802c4-a4d2-4d8b-9148-e3be6c30e623}">
          <xlrd:rvb i="308"/>
        </ext>
      </extLst>
    </bk>
    <bk>
      <extLst>
        <ext uri="{3e2802c4-a4d2-4d8b-9148-e3be6c30e623}">
          <xlrd:rvb i="309"/>
        </ext>
      </extLst>
    </bk>
    <bk>
      <extLst>
        <ext uri="{3e2802c4-a4d2-4d8b-9148-e3be6c30e623}">
          <xlrd:rvb i="310"/>
        </ext>
      </extLst>
    </bk>
    <bk>
      <extLst>
        <ext uri="{3e2802c4-a4d2-4d8b-9148-e3be6c30e623}">
          <xlrd:rvb i="311"/>
        </ext>
      </extLst>
    </bk>
    <bk>
      <extLst>
        <ext uri="{3e2802c4-a4d2-4d8b-9148-e3be6c30e623}">
          <xlrd:rvb i="312"/>
        </ext>
      </extLst>
    </bk>
    <bk>
      <extLst>
        <ext uri="{3e2802c4-a4d2-4d8b-9148-e3be6c30e623}">
          <xlrd:rvb i="313"/>
        </ext>
      </extLst>
    </bk>
    <bk>
      <extLst>
        <ext uri="{3e2802c4-a4d2-4d8b-9148-e3be6c30e623}">
          <xlrd:rvb i="314"/>
        </ext>
      </extLst>
    </bk>
    <bk>
      <extLst>
        <ext uri="{3e2802c4-a4d2-4d8b-9148-e3be6c30e623}">
          <xlrd:rvb i="315"/>
        </ext>
      </extLst>
    </bk>
    <bk>
      <extLst>
        <ext uri="{3e2802c4-a4d2-4d8b-9148-e3be6c30e623}">
          <xlrd:rvb i="316"/>
        </ext>
      </extLst>
    </bk>
    <bk>
      <extLst>
        <ext uri="{3e2802c4-a4d2-4d8b-9148-e3be6c30e623}">
          <xlrd:rvb i="317"/>
        </ext>
      </extLst>
    </bk>
    <bk>
      <extLst>
        <ext uri="{3e2802c4-a4d2-4d8b-9148-e3be6c30e623}">
          <xlrd:rvb i="318"/>
        </ext>
      </extLst>
    </bk>
    <bk>
      <extLst>
        <ext uri="{3e2802c4-a4d2-4d8b-9148-e3be6c30e623}">
          <xlrd:rvb i="319"/>
        </ext>
      </extLst>
    </bk>
    <bk>
      <extLst>
        <ext uri="{3e2802c4-a4d2-4d8b-9148-e3be6c30e623}">
          <xlrd:rvb i="320"/>
        </ext>
      </extLst>
    </bk>
    <bk>
      <extLst>
        <ext uri="{3e2802c4-a4d2-4d8b-9148-e3be6c30e623}">
          <xlrd:rvb i="321"/>
        </ext>
      </extLst>
    </bk>
    <bk>
      <extLst>
        <ext uri="{3e2802c4-a4d2-4d8b-9148-e3be6c30e623}">
          <xlrd:rvb i="322"/>
        </ext>
      </extLst>
    </bk>
    <bk>
      <extLst>
        <ext uri="{3e2802c4-a4d2-4d8b-9148-e3be6c30e623}">
          <xlrd:rvb i="323"/>
        </ext>
      </extLst>
    </bk>
    <bk>
      <extLst>
        <ext uri="{3e2802c4-a4d2-4d8b-9148-e3be6c30e623}">
          <xlrd:rvb i="324"/>
        </ext>
      </extLst>
    </bk>
    <bk>
      <extLst>
        <ext uri="{3e2802c4-a4d2-4d8b-9148-e3be6c30e623}">
          <xlrd:rvb i="325"/>
        </ext>
      </extLst>
    </bk>
    <bk>
      <extLst>
        <ext uri="{3e2802c4-a4d2-4d8b-9148-e3be6c30e623}">
          <xlrd:rvb i="326"/>
        </ext>
      </extLst>
    </bk>
    <bk>
      <extLst>
        <ext uri="{3e2802c4-a4d2-4d8b-9148-e3be6c30e623}">
          <xlrd:rvb i="327"/>
        </ext>
      </extLst>
    </bk>
    <bk>
      <extLst>
        <ext uri="{3e2802c4-a4d2-4d8b-9148-e3be6c30e623}">
          <xlrd:rvb i="328"/>
        </ext>
      </extLst>
    </bk>
    <bk>
      <extLst>
        <ext uri="{3e2802c4-a4d2-4d8b-9148-e3be6c30e623}">
          <xlrd:rvb i="329"/>
        </ext>
      </extLst>
    </bk>
    <bk>
      <extLst>
        <ext uri="{3e2802c4-a4d2-4d8b-9148-e3be6c30e623}">
          <xlrd:rvb i="330"/>
        </ext>
      </extLst>
    </bk>
    <bk>
      <extLst>
        <ext uri="{3e2802c4-a4d2-4d8b-9148-e3be6c30e623}">
          <xlrd:rvb i="331"/>
        </ext>
      </extLst>
    </bk>
    <bk>
      <extLst>
        <ext uri="{3e2802c4-a4d2-4d8b-9148-e3be6c30e623}">
          <xlrd:rvb i="332"/>
        </ext>
      </extLst>
    </bk>
    <bk>
      <extLst>
        <ext uri="{3e2802c4-a4d2-4d8b-9148-e3be6c30e623}">
          <xlrd:rvb i="333"/>
        </ext>
      </extLst>
    </bk>
    <bk>
      <extLst>
        <ext uri="{3e2802c4-a4d2-4d8b-9148-e3be6c30e623}">
          <xlrd:rvb i="334"/>
        </ext>
      </extLst>
    </bk>
    <bk>
      <extLst>
        <ext uri="{3e2802c4-a4d2-4d8b-9148-e3be6c30e623}">
          <xlrd:rvb i="335"/>
        </ext>
      </extLst>
    </bk>
    <bk>
      <extLst>
        <ext uri="{3e2802c4-a4d2-4d8b-9148-e3be6c30e623}">
          <xlrd:rvb i="336"/>
        </ext>
      </extLst>
    </bk>
    <bk>
      <extLst>
        <ext uri="{3e2802c4-a4d2-4d8b-9148-e3be6c30e623}">
          <xlrd:rvb i="337"/>
        </ext>
      </extLst>
    </bk>
    <bk>
      <extLst>
        <ext uri="{3e2802c4-a4d2-4d8b-9148-e3be6c30e623}">
          <xlrd:rvb i="338"/>
        </ext>
      </extLst>
    </bk>
    <bk>
      <extLst>
        <ext uri="{3e2802c4-a4d2-4d8b-9148-e3be6c30e623}">
          <xlrd:rvb i="339"/>
        </ext>
      </extLst>
    </bk>
    <bk>
      <extLst>
        <ext uri="{3e2802c4-a4d2-4d8b-9148-e3be6c30e623}">
          <xlrd:rvb i="340"/>
        </ext>
      </extLst>
    </bk>
    <bk>
      <extLst>
        <ext uri="{3e2802c4-a4d2-4d8b-9148-e3be6c30e623}">
          <xlrd:rvb i="341"/>
        </ext>
      </extLst>
    </bk>
    <bk>
      <extLst>
        <ext uri="{3e2802c4-a4d2-4d8b-9148-e3be6c30e623}">
          <xlrd:rvb i="342"/>
        </ext>
      </extLst>
    </bk>
    <bk>
      <extLst>
        <ext uri="{3e2802c4-a4d2-4d8b-9148-e3be6c30e623}">
          <xlrd:rvb i="343"/>
        </ext>
      </extLst>
    </bk>
    <bk>
      <extLst>
        <ext uri="{3e2802c4-a4d2-4d8b-9148-e3be6c30e623}">
          <xlrd:rvb i="344"/>
        </ext>
      </extLst>
    </bk>
    <bk>
      <extLst>
        <ext uri="{3e2802c4-a4d2-4d8b-9148-e3be6c30e623}">
          <xlrd:rvb i="345"/>
        </ext>
      </extLst>
    </bk>
    <bk>
      <extLst>
        <ext uri="{3e2802c4-a4d2-4d8b-9148-e3be6c30e623}">
          <xlrd:rvb i="346"/>
        </ext>
      </extLst>
    </bk>
    <bk>
      <extLst>
        <ext uri="{3e2802c4-a4d2-4d8b-9148-e3be6c30e623}">
          <xlrd:rvb i="347"/>
        </ext>
      </extLst>
    </bk>
    <bk>
      <extLst>
        <ext uri="{3e2802c4-a4d2-4d8b-9148-e3be6c30e623}">
          <xlrd:rvb i="348"/>
        </ext>
      </extLst>
    </bk>
    <bk>
      <extLst>
        <ext uri="{3e2802c4-a4d2-4d8b-9148-e3be6c30e623}">
          <xlrd:rvb i="349"/>
        </ext>
      </extLst>
    </bk>
    <bk>
      <extLst>
        <ext uri="{3e2802c4-a4d2-4d8b-9148-e3be6c30e623}">
          <xlrd:rvb i="350"/>
        </ext>
      </extLst>
    </bk>
    <bk>
      <extLst>
        <ext uri="{3e2802c4-a4d2-4d8b-9148-e3be6c30e623}">
          <xlrd:rvb i="351"/>
        </ext>
      </extLst>
    </bk>
    <bk>
      <extLst>
        <ext uri="{3e2802c4-a4d2-4d8b-9148-e3be6c30e623}">
          <xlrd:rvb i="352"/>
        </ext>
      </extLst>
    </bk>
    <bk>
      <extLst>
        <ext uri="{3e2802c4-a4d2-4d8b-9148-e3be6c30e623}">
          <xlrd:rvb i="353"/>
        </ext>
      </extLst>
    </bk>
    <bk>
      <extLst>
        <ext uri="{3e2802c4-a4d2-4d8b-9148-e3be6c30e623}">
          <xlrd:rvb i="354"/>
        </ext>
      </extLst>
    </bk>
    <bk>
      <extLst>
        <ext uri="{3e2802c4-a4d2-4d8b-9148-e3be6c30e623}">
          <xlrd:rvb i="355"/>
        </ext>
      </extLst>
    </bk>
    <bk>
      <extLst>
        <ext uri="{3e2802c4-a4d2-4d8b-9148-e3be6c30e623}">
          <xlrd:rvb i="356"/>
        </ext>
      </extLst>
    </bk>
    <bk>
      <extLst>
        <ext uri="{3e2802c4-a4d2-4d8b-9148-e3be6c30e623}">
          <xlrd:rvb i="357"/>
        </ext>
      </extLst>
    </bk>
    <bk>
      <extLst>
        <ext uri="{3e2802c4-a4d2-4d8b-9148-e3be6c30e623}">
          <xlrd:rvb i="358"/>
        </ext>
      </extLst>
    </bk>
    <bk>
      <extLst>
        <ext uri="{3e2802c4-a4d2-4d8b-9148-e3be6c30e623}">
          <xlrd:rvb i="359"/>
        </ext>
      </extLst>
    </bk>
    <bk>
      <extLst>
        <ext uri="{3e2802c4-a4d2-4d8b-9148-e3be6c30e623}">
          <xlrd:rvb i="360"/>
        </ext>
      </extLst>
    </bk>
    <bk>
      <extLst>
        <ext uri="{3e2802c4-a4d2-4d8b-9148-e3be6c30e623}">
          <xlrd:rvb i="361"/>
        </ext>
      </extLst>
    </bk>
    <bk>
      <extLst>
        <ext uri="{3e2802c4-a4d2-4d8b-9148-e3be6c30e623}">
          <xlrd:rvb i="362"/>
        </ext>
      </extLst>
    </bk>
    <bk>
      <extLst>
        <ext uri="{3e2802c4-a4d2-4d8b-9148-e3be6c30e623}">
          <xlrd:rvb i="363"/>
        </ext>
      </extLst>
    </bk>
    <bk>
      <extLst>
        <ext uri="{3e2802c4-a4d2-4d8b-9148-e3be6c30e623}">
          <xlrd:rvb i="364"/>
        </ext>
      </extLst>
    </bk>
    <bk>
      <extLst>
        <ext uri="{3e2802c4-a4d2-4d8b-9148-e3be6c30e623}">
          <xlrd:rvb i="365"/>
        </ext>
      </extLst>
    </bk>
    <bk>
      <extLst>
        <ext uri="{3e2802c4-a4d2-4d8b-9148-e3be6c30e623}">
          <xlrd:rvb i="366"/>
        </ext>
      </extLst>
    </bk>
    <bk>
      <extLst>
        <ext uri="{3e2802c4-a4d2-4d8b-9148-e3be6c30e623}">
          <xlrd:rvb i="367"/>
        </ext>
      </extLst>
    </bk>
    <bk>
      <extLst>
        <ext uri="{3e2802c4-a4d2-4d8b-9148-e3be6c30e623}">
          <xlrd:rvb i="368"/>
        </ext>
      </extLst>
    </bk>
    <bk>
      <extLst>
        <ext uri="{3e2802c4-a4d2-4d8b-9148-e3be6c30e623}">
          <xlrd:rvb i="369"/>
        </ext>
      </extLst>
    </bk>
    <bk>
      <extLst>
        <ext uri="{3e2802c4-a4d2-4d8b-9148-e3be6c30e623}">
          <xlrd:rvb i="370"/>
        </ext>
      </extLst>
    </bk>
    <bk>
      <extLst>
        <ext uri="{3e2802c4-a4d2-4d8b-9148-e3be6c30e623}">
          <xlrd:rvb i="371"/>
        </ext>
      </extLst>
    </bk>
    <bk>
      <extLst>
        <ext uri="{3e2802c4-a4d2-4d8b-9148-e3be6c30e623}">
          <xlrd:rvb i="372"/>
        </ext>
      </extLst>
    </bk>
    <bk>
      <extLst>
        <ext uri="{3e2802c4-a4d2-4d8b-9148-e3be6c30e623}">
          <xlrd:rvb i="373"/>
        </ext>
      </extLst>
    </bk>
    <bk>
      <extLst>
        <ext uri="{3e2802c4-a4d2-4d8b-9148-e3be6c30e623}">
          <xlrd:rvb i="374"/>
        </ext>
      </extLst>
    </bk>
    <bk>
      <extLst>
        <ext uri="{3e2802c4-a4d2-4d8b-9148-e3be6c30e623}">
          <xlrd:rvb i="375"/>
        </ext>
      </extLst>
    </bk>
    <bk>
      <extLst>
        <ext uri="{3e2802c4-a4d2-4d8b-9148-e3be6c30e623}">
          <xlrd:rvb i="376"/>
        </ext>
      </extLst>
    </bk>
    <bk>
      <extLst>
        <ext uri="{3e2802c4-a4d2-4d8b-9148-e3be6c30e623}">
          <xlrd:rvb i="377"/>
        </ext>
      </extLst>
    </bk>
    <bk>
      <extLst>
        <ext uri="{3e2802c4-a4d2-4d8b-9148-e3be6c30e623}">
          <xlrd:rvb i="378"/>
        </ext>
      </extLst>
    </bk>
    <bk>
      <extLst>
        <ext uri="{3e2802c4-a4d2-4d8b-9148-e3be6c30e623}">
          <xlrd:rvb i="379"/>
        </ext>
      </extLst>
    </bk>
    <bk>
      <extLst>
        <ext uri="{3e2802c4-a4d2-4d8b-9148-e3be6c30e623}">
          <xlrd:rvb i="380"/>
        </ext>
      </extLst>
    </bk>
    <bk>
      <extLst>
        <ext uri="{3e2802c4-a4d2-4d8b-9148-e3be6c30e623}">
          <xlrd:rvb i="381"/>
        </ext>
      </extLst>
    </bk>
    <bk>
      <extLst>
        <ext uri="{3e2802c4-a4d2-4d8b-9148-e3be6c30e623}">
          <xlrd:rvb i="382"/>
        </ext>
      </extLst>
    </bk>
    <bk>
      <extLst>
        <ext uri="{3e2802c4-a4d2-4d8b-9148-e3be6c30e623}">
          <xlrd:rvb i="383"/>
        </ext>
      </extLst>
    </bk>
    <bk>
      <extLst>
        <ext uri="{3e2802c4-a4d2-4d8b-9148-e3be6c30e623}">
          <xlrd:rvb i="384"/>
        </ext>
      </extLst>
    </bk>
    <bk>
      <extLst>
        <ext uri="{3e2802c4-a4d2-4d8b-9148-e3be6c30e623}">
          <xlrd:rvb i="385"/>
        </ext>
      </extLst>
    </bk>
    <bk>
      <extLst>
        <ext uri="{3e2802c4-a4d2-4d8b-9148-e3be6c30e623}">
          <xlrd:rvb i="386"/>
        </ext>
      </extLst>
    </bk>
    <bk>
      <extLst>
        <ext uri="{3e2802c4-a4d2-4d8b-9148-e3be6c30e623}">
          <xlrd:rvb i="387"/>
        </ext>
      </extLst>
    </bk>
    <bk>
      <extLst>
        <ext uri="{3e2802c4-a4d2-4d8b-9148-e3be6c30e623}">
          <xlrd:rvb i="388"/>
        </ext>
      </extLst>
    </bk>
    <bk>
      <extLst>
        <ext uri="{3e2802c4-a4d2-4d8b-9148-e3be6c30e623}">
          <xlrd:rvb i="389"/>
        </ext>
      </extLst>
    </bk>
    <bk>
      <extLst>
        <ext uri="{3e2802c4-a4d2-4d8b-9148-e3be6c30e623}">
          <xlrd:rvb i="390"/>
        </ext>
      </extLst>
    </bk>
    <bk>
      <extLst>
        <ext uri="{3e2802c4-a4d2-4d8b-9148-e3be6c30e623}">
          <xlrd:rvb i="391"/>
        </ext>
      </extLst>
    </bk>
    <bk>
      <extLst>
        <ext uri="{3e2802c4-a4d2-4d8b-9148-e3be6c30e623}">
          <xlrd:rvb i="392"/>
        </ext>
      </extLst>
    </bk>
    <bk>
      <extLst>
        <ext uri="{3e2802c4-a4d2-4d8b-9148-e3be6c30e623}">
          <xlrd:rvb i="393"/>
        </ext>
      </extLst>
    </bk>
    <bk>
      <extLst>
        <ext uri="{3e2802c4-a4d2-4d8b-9148-e3be6c30e623}">
          <xlrd:rvb i="394"/>
        </ext>
      </extLst>
    </bk>
    <bk>
      <extLst>
        <ext uri="{3e2802c4-a4d2-4d8b-9148-e3be6c30e623}">
          <xlrd:rvb i="395"/>
        </ext>
      </extLst>
    </bk>
    <bk>
      <extLst>
        <ext uri="{3e2802c4-a4d2-4d8b-9148-e3be6c30e623}">
          <xlrd:rvb i="396"/>
        </ext>
      </extLst>
    </bk>
  </futureMetadata>
  <cellMetadata count="1">
    <bk>
      <rc t="1" v="0"/>
    </bk>
  </cellMetadata>
  <valueMetadata count="397">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valueMetadata>
</metadata>
</file>

<file path=xl/sharedStrings.xml><?xml version="1.0" encoding="utf-8"?>
<sst xmlns="http://schemas.openxmlformats.org/spreadsheetml/2006/main" count="644" uniqueCount="255">
  <si>
    <t>Date</t>
  </si>
  <si>
    <t>Symbol</t>
  </si>
  <si>
    <t>Company</t>
  </si>
  <si>
    <t>Category</t>
  </si>
  <si>
    <t>Average 4 year return</t>
  </si>
  <si>
    <t>C3</t>
  </si>
  <si>
    <t>C4</t>
  </si>
  <si>
    <t>C2</t>
  </si>
  <si>
    <t>C1</t>
  </si>
  <si>
    <t>Healthcare</t>
  </si>
  <si>
    <t>Technology</t>
  </si>
  <si>
    <t>R1</t>
  </si>
  <si>
    <t>R2</t>
  </si>
  <si>
    <t>R3</t>
  </si>
  <si>
    <t>&lt;=</t>
  </si>
  <si>
    <t>Stnd Deviation of 4 years</t>
  </si>
  <si>
    <t>DECISION VARIABLES</t>
  </si>
  <si>
    <t>OBJECTIVE FUNCTION</t>
  </si>
  <si>
    <t>CONSTRAINTS</t>
  </si>
  <si>
    <t>Financial Services</t>
  </si>
  <si>
    <t>monthly rate of return</t>
  </si>
  <si>
    <t>Communication services</t>
  </si>
  <si>
    <t>std deviation</t>
  </si>
  <si>
    <t>min</t>
  </si>
  <si>
    <t>max</t>
  </si>
  <si>
    <t>Category code for chosen assests</t>
  </si>
  <si>
    <t>Risk Category  (R1 / R2 /R3)</t>
  </si>
  <si>
    <t>Total</t>
  </si>
  <si>
    <t>at least two investments</t>
  </si>
  <si>
    <t xml:space="preserve">Category code </t>
  </si>
  <si>
    <t>Category sub code for chosen assests</t>
  </si>
  <si>
    <t>optimal Value</t>
  </si>
  <si>
    <t xml:space="preserve">Stnd Deviation </t>
  </si>
  <si>
    <t>Ave. Annual Return Rate (48 mths)</t>
  </si>
  <si>
    <t>investment</t>
  </si>
  <si>
    <t xml:space="preserve"> S11</t>
  </si>
  <si>
    <t>S12</t>
  </si>
  <si>
    <t>S21</t>
  </si>
  <si>
    <t>S22</t>
  </si>
  <si>
    <t>S31</t>
  </si>
  <si>
    <t>S32</t>
  </si>
  <si>
    <t>S41</t>
  </si>
  <si>
    <t>S42</t>
  </si>
  <si>
    <t>S1</t>
  </si>
  <si>
    <t>S2</t>
  </si>
  <si>
    <t>S3</t>
  </si>
  <si>
    <t>S4</t>
  </si>
  <si>
    <t>Health Care S1</t>
  </si>
  <si>
    <t>Technology S2</t>
  </si>
  <si>
    <t>Communi. Services         S3</t>
  </si>
  <si>
    <t>Financial. Ser   S4</t>
  </si>
  <si>
    <t xml:space="preserve">Sector code </t>
  </si>
  <si>
    <t xml:space="preserve"> sub sector code for chosen assests</t>
  </si>
  <si>
    <t>Table 1.b.1</t>
  </si>
  <si>
    <t>Table 1.b.2</t>
  </si>
  <si>
    <t>Table 1.b.3</t>
  </si>
  <si>
    <t>Complete all three tables</t>
  </si>
  <si>
    <t>Using the closing stock prices of 49 monthly data calculate the monthly rate of returns for 48 months commencing from 1st of January 2021 to 1st of January 2025</t>
  </si>
  <si>
    <t>Table 1.a.1</t>
  </si>
  <si>
    <t>monthly return of 1.Pro Medicus Limited (ASX.PME)</t>
  </si>
  <si>
    <t>(ASX.PME)</t>
  </si>
  <si>
    <t>Code</t>
  </si>
  <si>
    <t>(ASX:TLS)</t>
  </si>
  <si>
    <t>(ASX:CBA)</t>
  </si>
  <si>
    <t xml:space="preserve"> (ASX:XRO)</t>
  </si>
  <si>
    <t>Monthly rate of return of Pro Medicus Limited</t>
  </si>
  <si>
    <t xml:space="preserve"> Monthly rate of return of Xero Limited</t>
  </si>
  <si>
    <t xml:space="preserve">Monthly rate of return of Telstra Group Limited </t>
  </si>
  <si>
    <t xml:space="preserve">Monthly rate of return of Commonwealth Bank </t>
  </si>
  <si>
    <t>(ASX:PME)</t>
  </si>
  <si>
    <t>Pro Medicus Limited</t>
  </si>
  <si>
    <t>(ASX:XRO)</t>
  </si>
  <si>
    <t>Xero Limited</t>
  </si>
  <si>
    <t xml:space="preserve"> Telstra Group Limited</t>
  </si>
  <si>
    <t>Commonwealth Bank</t>
  </si>
  <si>
    <t>Proportion of investment</t>
  </si>
  <si>
    <t>LP Model summary sheet</t>
  </si>
  <si>
    <t>ILP Model summary sheet</t>
  </si>
  <si>
    <t>monthly return of 7.Commonwealth Bank (ASX:CBA)</t>
  </si>
  <si>
    <t>R1 (Low risk)</t>
  </si>
  <si>
    <t xml:space="preserve">R2 (Medium Risk) </t>
  </si>
  <si>
    <t xml:space="preserve">R3 (High Risk) </t>
  </si>
  <si>
    <t>INPUTS</t>
  </si>
  <si>
    <t>Stock</t>
  </si>
  <si>
    <t>Mean</t>
  </si>
  <si>
    <t>Investment weights</t>
  </si>
  <si>
    <t>RHS</t>
  </si>
  <si>
    <t>=</t>
  </si>
  <si>
    <t xml:space="preserve">LINEAR PROGRAMING </t>
  </si>
  <si>
    <t>(High Risk assets should be less Than 15%)</t>
  </si>
  <si>
    <t>(Low risk stocks should be greater than Medium Risk stock(R2)</t>
  </si>
  <si>
    <t>&gt;=</t>
  </si>
  <si>
    <t>(Health care sector must have a minimum of 15% invested)</t>
  </si>
  <si>
    <t>(Technology sector must have a minimum of 15% invested)</t>
  </si>
  <si>
    <t>(Communication Service sector must have a minimum of 15% invested)</t>
  </si>
  <si>
    <t>(minimum investment in each S11 should be 5%)</t>
  </si>
  <si>
    <t>(minimum investment in each S12 should be 5%)</t>
  </si>
  <si>
    <t>(minimum investment in each S21 should be 5%)</t>
  </si>
  <si>
    <t>(minimum investment in each S22 should be 5%)</t>
  </si>
  <si>
    <t>(minimum investment in each S31 should be 5%)</t>
  </si>
  <si>
    <t>(minimum investment in each S32 should be 5%)</t>
  </si>
  <si>
    <t>(minimum investment in each S41 should be 5%)</t>
  </si>
  <si>
    <t>(minimum investment in each S42 should be 5%)</t>
  </si>
  <si>
    <t>S11</t>
  </si>
  <si>
    <t>Communication Service</t>
  </si>
  <si>
    <t xml:space="preserve">Finance </t>
  </si>
  <si>
    <t>(Sum of all should be 100%)</t>
  </si>
  <si>
    <t>Microsoft Excel 16.95 Sensitivity Report</t>
  </si>
  <si>
    <t>Variable Cells</t>
  </si>
  <si>
    <t>Cell</t>
  </si>
  <si>
    <t>Name</t>
  </si>
  <si>
    <t>Final</t>
  </si>
  <si>
    <t>Value</t>
  </si>
  <si>
    <t>Reduced</t>
  </si>
  <si>
    <t>Cost</t>
  </si>
  <si>
    <t>Objective</t>
  </si>
  <si>
    <t>Coefficient</t>
  </si>
  <si>
    <t>Allowable</t>
  </si>
  <si>
    <t>Increase</t>
  </si>
  <si>
    <t>Decrease</t>
  </si>
  <si>
    <t>Constraints</t>
  </si>
  <si>
    <t>Shadow</t>
  </si>
  <si>
    <t>Price</t>
  </si>
  <si>
    <t>Constraint</t>
  </si>
  <si>
    <t>R.H. Side</t>
  </si>
  <si>
    <t>$C$20</t>
  </si>
  <si>
    <t>Investment weights (ASX.PME)</t>
  </si>
  <si>
    <t>Investment weights  (ASX:XRO)</t>
  </si>
  <si>
    <t>Investment weights (ASX:TLS)</t>
  </si>
  <si>
    <t>Investment weights (ASX:CBA)</t>
  </si>
  <si>
    <t>Yes=1  NO=0</t>
  </si>
  <si>
    <t>(One Stock in the Riskiest Group (R3))</t>
  </si>
  <si>
    <t>(Two Stocks in the Least Risky Group R1)</t>
  </si>
  <si>
    <t>(R3 Stock Selection Requires at Least One R2 Stock)</t>
  </si>
  <si>
    <t>(5 Stocks needed to be Choosen )</t>
  </si>
  <si>
    <t>(At least 1 in Health Sector)</t>
  </si>
  <si>
    <t>(At lease 1 in Technology Sector)</t>
  </si>
  <si>
    <t>(Atleast 1 in Communication Sector )</t>
  </si>
  <si>
    <t>(Atleast 1 in Finacial Sector )</t>
  </si>
  <si>
    <t xml:space="preserve">INTERGER LINEAR PROGRAMING </t>
  </si>
  <si>
    <t>$E$11</t>
  </si>
  <si>
    <t>$F$11</t>
  </si>
  <si>
    <t>$G$11</t>
  </si>
  <si>
    <t>$H$11</t>
  </si>
  <si>
    <t>$I$11</t>
  </si>
  <si>
    <t>$J$11</t>
  </si>
  <si>
    <t>$C$22</t>
  </si>
  <si>
    <t>$C$24</t>
  </si>
  <si>
    <t>$C$26</t>
  </si>
  <si>
    <t>$C$28</t>
  </si>
  <si>
    <t>$C$30</t>
  </si>
  <si>
    <t>$C$32</t>
  </si>
  <si>
    <t>$C$34</t>
  </si>
  <si>
    <t>$C$36</t>
  </si>
  <si>
    <t>$C$38</t>
  </si>
  <si>
    <t>$C$40</t>
  </si>
  <si>
    <t>$C$42</t>
  </si>
  <si>
    <t>$C$44</t>
  </si>
  <si>
    <t>$C$46</t>
  </si>
  <si>
    <t>$C$48</t>
  </si>
  <si>
    <t>$C$50</t>
  </si>
  <si>
    <t xml:space="preserve">Constrains </t>
  </si>
  <si>
    <t xml:space="preserve">Total Investment </t>
  </si>
  <si>
    <t xml:space="preserve">Total  Investment </t>
  </si>
  <si>
    <t>Monthly retun of 2.Paragon Care Limited (ASX:PGC)</t>
  </si>
  <si>
    <t>3.monthly return of Xero Limited (ASX:XRO)</t>
  </si>
  <si>
    <t>5.monthly retun of Telstra Group Limited (ASX:TLS)</t>
  </si>
  <si>
    <t>6. Monthly return of TPG Telecom Limited (ASX:TPG)</t>
  </si>
  <si>
    <t>(ASX:PGC)</t>
  </si>
  <si>
    <t xml:space="preserve">Paragon Care Limited </t>
  </si>
  <si>
    <t xml:space="preserve"> TPG Telecom Limited </t>
  </si>
  <si>
    <t>(ASX:TPG)</t>
  </si>
  <si>
    <t>Monthly return of 8.Suncorp Group Limited (ASX:SUN)</t>
  </si>
  <si>
    <t>Suncorp Group Limited</t>
  </si>
  <si>
    <t xml:space="preserve"> (ASX:SUN)</t>
  </si>
  <si>
    <t xml:space="preserve">Monthly rate of return of Paragon Care Limited </t>
  </si>
  <si>
    <t xml:space="preserve">Monthly rate of return of  TPG Telecom Limited </t>
  </si>
  <si>
    <t>Monthly rate of return of Suncorp Group Limited</t>
  </si>
  <si>
    <t>LHS</t>
  </si>
  <si>
    <t>Maxmize portfolio return</t>
  </si>
  <si>
    <t>$C$11</t>
  </si>
  <si>
    <t>$D$11</t>
  </si>
  <si>
    <t>(High Risk assets should be less Than 15%) LHS</t>
  </si>
  <si>
    <t>(Low risk stocks should be greater than Medium Risk stock(R2) LHS</t>
  </si>
  <si>
    <t>(Health care sector must have a minimum of 15% invested) LHS</t>
  </si>
  <si>
    <t>(Technology sector must have a minimum of 15% invested) LHS</t>
  </si>
  <si>
    <t>(Communication Service sector must have a minimum of 15% invested) LHS</t>
  </si>
  <si>
    <t>(minimum investment in each S11 should be 5%) LHS</t>
  </si>
  <si>
    <t>(minimum investment in each S12 should be 5%) LHS</t>
  </si>
  <si>
    <t>(minimum investment in each S21 should be 5%) LHS</t>
  </si>
  <si>
    <t>(minimum investment in each S22 should be 5%) LHS</t>
  </si>
  <si>
    <t>(minimum investment in each S31 should be 5%) LHS</t>
  </si>
  <si>
    <t>(minimum investment in each S32 should be 5%) LHS</t>
  </si>
  <si>
    <t>(minimum investment in each S41 should be 5%) LHS</t>
  </si>
  <si>
    <t>(minimum investment in each S42 should be 5%) LHS</t>
  </si>
  <si>
    <t>(Sum of all should be 100%) LHS</t>
  </si>
  <si>
    <t>Monthly return of 4.COSOL Limited (ASX:COS)</t>
  </si>
  <si>
    <t>(ASX:COS)</t>
  </si>
  <si>
    <t xml:space="preserve">COSOL Limited </t>
  </si>
  <si>
    <t xml:space="preserve">Monthly rate of COSOL Limited </t>
  </si>
  <si>
    <t>(Low Risk Stock Receive higest allocaton than R3.  )</t>
  </si>
  <si>
    <t>Maximum portfolio return</t>
  </si>
  <si>
    <t>Investment weights (ASX:PGC)</t>
  </si>
  <si>
    <t>Investment weights (ASX:COS)</t>
  </si>
  <si>
    <t>Investment weights (ASX:TPG)</t>
  </si>
  <si>
    <t>Investment weights  (ASX:SUN)</t>
  </si>
  <si>
    <t>(Low Risk Stock Receive higest allocaton than R3.  ) LHS</t>
  </si>
  <si>
    <t>(Finance sector must have a minimum of  20% invested)</t>
  </si>
  <si>
    <t>(Finance sector must have a minimum of  20% invested) LHS</t>
  </si>
  <si>
    <t xml:space="preserve">Risk category </t>
  </si>
  <si>
    <t>non negative constrain</t>
  </si>
  <si>
    <t>Worksheet: [BASKAR_GOKUL_S223638072_MIS775.xlsx]2.a. LP Modelling</t>
  </si>
  <si>
    <t>$C$52</t>
  </si>
  <si>
    <t>non negative constrain LHS</t>
  </si>
  <si>
    <t>Microsoft Excel 16.95 Answer Report</t>
  </si>
  <si>
    <t>Result: Solver found a solution.  All constraints and optimality conditions are satisfied.</t>
  </si>
  <si>
    <t>Solver Engine</t>
  </si>
  <si>
    <t>Engine: Simplex LP</t>
  </si>
  <si>
    <t>Iterations: 21 Subproblems: 0</t>
  </si>
  <si>
    <t>Solver Options</t>
  </si>
  <si>
    <t>Max Time Unlimited, Iterations Unlimited, Precision 0.000001</t>
  </si>
  <si>
    <t>Max Subproblems Unlimited, Max Integer Sols Unlimited, Integer Tolerance 1%</t>
  </si>
  <si>
    <t>Objective Cell (Max)</t>
  </si>
  <si>
    <t>Original Value</t>
  </si>
  <si>
    <t>Final Value</t>
  </si>
  <si>
    <t>Integer</t>
  </si>
  <si>
    <t>Cell Value</t>
  </si>
  <si>
    <t>Formula</t>
  </si>
  <si>
    <t>Status</t>
  </si>
  <si>
    <t>Slack</t>
  </si>
  <si>
    <t>$C$16</t>
  </si>
  <si>
    <t>Maxmize portfolio return (ASX.PME)</t>
  </si>
  <si>
    <t>Contin</t>
  </si>
  <si>
    <t>$C$20&lt;=$E$20</t>
  </si>
  <si>
    <t>Binding</t>
  </si>
  <si>
    <t>$C$22&gt;=$E$22</t>
  </si>
  <si>
    <t>Not Binding</t>
  </si>
  <si>
    <t>$C$24&gt;=$E$24</t>
  </si>
  <si>
    <t>$C$26&gt;=$E$26</t>
  </si>
  <si>
    <t>$C$28&gt;=$E$28</t>
  </si>
  <si>
    <t>$C$30&gt;=$E$30</t>
  </si>
  <si>
    <t>$C$32&gt;=$E$32</t>
  </si>
  <si>
    <t>$C$34&gt;=$E$34</t>
  </si>
  <si>
    <t>$C$36&gt;=$E$36</t>
  </si>
  <si>
    <t>$C$38&gt;=$E$38</t>
  </si>
  <si>
    <t>$C$40&gt;=$E$40</t>
  </si>
  <si>
    <t>$C$42&gt;=$E$42</t>
  </si>
  <si>
    <t>$C$44&gt;=$E$44</t>
  </si>
  <si>
    <t>$C$46&gt;=$E$46</t>
  </si>
  <si>
    <t>$C$48&gt;=$E$48</t>
  </si>
  <si>
    <t>$C$50=$E$50</t>
  </si>
  <si>
    <t>$C$52&gt;=$E$52</t>
  </si>
  <si>
    <t>Report Created: 10/04/25 12:13:32 PM</t>
  </si>
  <si>
    <t>Solution Time: 178.421 Seconds.</t>
  </si>
  <si>
    <r>
      <rPr>
        <b/>
        <sz val="20"/>
        <color rgb="FFFF0000"/>
        <rFont val="Calibri (Body)"/>
      </rPr>
      <t xml:space="preserve">INTRODUCTION:      </t>
    </r>
    <r>
      <rPr>
        <b/>
        <sz val="20"/>
        <color theme="1"/>
        <rFont val="Calibri (Body)"/>
      </rPr>
      <t xml:space="preserve">                                                                                                                                                                        </t>
    </r>
    <r>
      <rPr>
        <b/>
        <sz val="20"/>
        <color rgb="FFFF0000"/>
        <rFont val="Calibri (Body)"/>
      </rPr>
      <t>Purpose:</t>
    </r>
    <r>
      <rPr>
        <b/>
        <sz val="20"/>
        <color theme="1"/>
        <rFont val="Calibri (Body)"/>
      </rPr>
      <t> </t>
    </r>
    <r>
      <rPr>
        <sz val="20"/>
        <color theme="1"/>
        <rFont val="Calibri (Body)"/>
      </rPr>
      <t xml:space="preserve">Optimize an 8-asset investment portfolio to maximize returns while managing risk. The task uses real ASX stock data to demonstrate portfolio modelling techniques.
Approach: Used historical monthly returns (Jan 2021 – Jan 2025) for 8 selected stocks and formulated two optimisation models – a </t>
    </r>
    <r>
      <rPr>
        <b/>
        <sz val="20"/>
        <color rgb="FFFF0000"/>
        <rFont val="Calibri (Body)"/>
      </rPr>
      <t xml:space="preserve">Linear Program (LP) and an Integer Linear Program (ILP). </t>
    </r>
    <r>
      <rPr>
        <sz val="20"/>
        <color theme="1"/>
        <rFont val="Calibri (Body)"/>
      </rPr>
      <t xml:space="preserve">The LP allows fractional investment in each asset, while the ILP restricts to choosing a subset of assets.
</t>
    </r>
    <r>
      <rPr>
        <b/>
        <sz val="20"/>
        <color rgb="FFFF0000"/>
        <rFont val="Calibri (Body)"/>
      </rPr>
      <t>Tools:</t>
    </r>
    <r>
      <rPr>
        <sz val="20"/>
        <color theme="1"/>
        <rFont val="Calibri (Body)"/>
      </rPr>
      <t> Microsoft Excel and Solver were used to implement the models. Constraints were derived from diversification and risk requirements. Solver’s Simplex LP algorithm (and branch-and-bound for ILP) identified the optimal allocations. Sensitivity analysis was conducted on the LP model to interpret constraint impacts.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</si>
</sst>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_-* #,##0.0000_-;\-* #,##0.0000_-;_-* &quot;-&quot;??_-;_-@_-"/>
    <numFmt numFmtId="166" formatCode="#,##0_ ;\-#,##0\ "/>
  </numFmts>
  <fonts count="40"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8"/>
      <name val="Calibri"/>
      <family val="2"/>
      <scheme val="minor"/>
    </font>
    <font>
      <b/>
      <sz val="12"/>
      <name val="Calibri"/>
      <family val="2"/>
      <scheme val="minor"/>
    </font>
    <font>
      <b/>
      <sz val="11"/>
      <name val="Calibri"/>
      <family val="2"/>
      <scheme val="minor"/>
    </font>
    <font>
      <b/>
      <sz val="11"/>
      <color rgb="FF0070C0"/>
      <name val="Calibri"/>
      <family val="2"/>
      <scheme val="minor"/>
    </font>
    <font>
      <b/>
      <sz val="12"/>
      <color rgb="FF0070C0"/>
      <name val="Calibri"/>
      <family val="2"/>
      <scheme val="minor"/>
    </font>
    <font>
      <b/>
      <sz val="10"/>
      <color theme="1"/>
      <name val="Calibri"/>
      <family val="2"/>
      <scheme val="minor"/>
    </font>
    <font>
      <sz val="12"/>
      <color rgb="FFFF0000"/>
      <name val="Calibri"/>
      <family val="2"/>
      <scheme val="minor"/>
    </font>
    <font>
      <sz val="8"/>
      <color rgb="FF232A31"/>
      <name val="Arial"/>
      <family val="2"/>
    </font>
    <font>
      <b/>
      <sz val="10"/>
      <name val="Calibri"/>
      <family val="2"/>
      <scheme val="minor"/>
    </font>
    <font>
      <b/>
      <sz val="11"/>
      <color rgb="FF0033CC"/>
      <name val="Calibri"/>
      <family val="2"/>
      <scheme val="minor"/>
    </font>
    <font>
      <b/>
      <i/>
      <sz val="12"/>
      <color rgb="FF0033CC"/>
      <name val="Calibri"/>
      <family val="2"/>
      <scheme val="minor"/>
    </font>
    <font>
      <sz val="10"/>
      <color theme="1"/>
      <name val="Calibri"/>
      <family val="2"/>
      <scheme val="minor"/>
    </font>
    <font>
      <b/>
      <sz val="16"/>
      <color rgb="FF0033CC"/>
      <name val="Calibri"/>
      <family val="2"/>
      <scheme val="minor"/>
    </font>
    <font>
      <b/>
      <sz val="11"/>
      <color rgb="FF000000"/>
      <name val="Times New Roman"/>
      <family val="1"/>
    </font>
    <font>
      <sz val="11"/>
      <color rgb="FF000000"/>
      <name val="Times New Roman"/>
      <family val="1"/>
    </font>
    <font>
      <sz val="11"/>
      <color rgb="FF000000"/>
      <name val="Calibri"/>
      <family val="2"/>
      <scheme val="minor"/>
    </font>
    <font>
      <b/>
      <sz val="11"/>
      <color rgb="FF7030A0"/>
      <name val="Times New Roman"/>
      <family val="1"/>
    </font>
    <font>
      <b/>
      <sz val="14"/>
      <color rgb="FF0033CC"/>
      <name val="Calibri"/>
      <family val="2"/>
      <scheme val="minor"/>
    </font>
    <font>
      <b/>
      <sz val="10"/>
      <color rgb="FF0033CC"/>
      <name val="Calibri"/>
      <family val="2"/>
      <scheme val="minor"/>
    </font>
    <font>
      <b/>
      <i/>
      <sz val="12"/>
      <color rgb="FF0033CC"/>
      <name val="Aptos"/>
      <family val="2"/>
    </font>
    <font>
      <sz val="12"/>
      <color rgb="FF006100"/>
      <name val="Calibri"/>
      <family val="2"/>
      <scheme val="minor"/>
    </font>
    <font>
      <sz val="12"/>
      <color rgb="FF9C5700"/>
      <name val="Calibri"/>
      <family val="2"/>
      <scheme val="minor"/>
    </font>
    <font>
      <b/>
      <sz val="11"/>
      <color rgb="FF000000"/>
      <name val="Calibri"/>
      <family val="2"/>
      <scheme val="minor"/>
    </font>
    <font>
      <sz val="11"/>
      <color theme="1"/>
      <name val="Calibri"/>
      <family val="2"/>
    </font>
    <font>
      <b/>
      <sz val="10"/>
      <color rgb="FFFFFFFF"/>
      <name val="Calibri"/>
      <family val="2"/>
    </font>
    <font>
      <b/>
      <sz val="18"/>
      <color theme="1"/>
      <name val="Calibri"/>
      <family val="2"/>
      <scheme val="minor"/>
    </font>
    <font>
      <b/>
      <sz val="16"/>
      <color theme="4" tint="-0.499984740745262"/>
      <name val="Calibri"/>
      <family val="2"/>
      <scheme val="minor"/>
    </font>
    <font>
      <i/>
      <sz val="11"/>
      <color theme="1"/>
      <name val="Calibri"/>
      <family val="2"/>
      <scheme val="minor"/>
    </font>
    <font>
      <b/>
      <sz val="11"/>
      <color indexed="18"/>
      <name val="Calibri"/>
      <family val="2"/>
      <scheme val="minor"/>
    </font>
    <font>
      <sz val="9"/>
      <color theme="1"/>
      <name val="Calibri"/>
      <family val="2"/>
      <scheme val="minor"/>
    </font>
    <font>
      <b/>
      <sz val="20"/>
      <color theme="1"/>
      <name val="Calibri (Body)"/>
    </font>
    <font>
      <sz val="20"/>
      <color theme="1"/>
      <name val="Calibri (Body)"/>
    </font>
    <font>
      <b/>
      <sz val="20"/>
      <color rgb="FFFF0000"/>
      <name val="Calibri (Body)"/>
    </font>
  </fonts>
  <fills count="28">
    <fill>
      <patternFill patternType="none"/>
    </fill>
    <fill>
      <patternFill patternType="gray125"/>
    </fill>
    <fill>
      <patternFill patternType="solid">
        <fgColor theme="9" tint="0.79998168889431442"/>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rgb="FF92D05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rgb="FFC6EFCE"/>
      </patternFill>
    </fill>
    <fill>
      <patternFill patternType="solid">
        <fgColor rgb="FFFFEB9C"/>
      </patternFill>
    </fill>
    <fill>
      <patternFill patternType="solid">
        <fgColor theme="4" tint="0.39997558519241921"/>
        <bgColor indexed="65"/>
      </patternFill>
    </fill>
    <fill>
      <patternFill patternType="solid">
        <fgColor theme="5" tint="0.39997558519241921"/>
        <bgColor indexed="65"/>
      </patternFill>
    </fill>
    <fill>
      <patternFill patternType="solid">
        <fgColor theme="7" tint="0.39997558519241921"/>
        <bgColor indexed="65"/>
      </patternFill>
    </fill>
    <fill>
      <patternFill patternType="solid">
        <fgColor theme="9" tint="0.39997558519241921"/>
        <bgColor indexed="65"/>
      </patternFill>
    </fill>
    <fill>
      <patternFill patternType="solid">
        <fgColor rgb="FFFF0000"/>
        <bgColor indexed="64"/>
      </patternFill>
    </fill>
    <fill>
      <patternFill patternType="solid">
        <fgColor theme="7" tint="0.39997558519241921"/>
        <bgColor indexed="64"/>
      </patternFill>
    </fill>
    <fill>
      <patternFill patternType="solid">
        <fgColor rgb="FF00B050"/>
        <bgColor indexed="64"/>
      </patternFill>
    </fill>
    <fill>
      <patternFill patternType="solid">
        <fgColor rgb="FFFFFF00"/>
        <bgColor rgb="FF000000"/>
      </patternFill>
    </fill>
    <fill>
      <patternFill patternType="solid">
        <fgColor rgb="FF007D9B"/>
        <bgColor indexed="64"/>
      </patternFill>
    </fill>
    <fill>
      <patternFill patternType="solid">
        <fgColor theme="9"/>
        <bgColor indexed="64"/>
      </patternFill>
    </fill>
    <fill>
      <patternFill patternType="solid">
        <fgColor theme="0"/>
        <bgColor rgb="FF000000"/>
      </patternFill>
    </fill>
    <fill>
      <patternFill patternType="solid">
        <fgColor theme="4" tint="0.39997558519241921"/>
        <bgColor indexed="64"/>
      </patternFill>
    </fill>
    <fill>
      <patternFill patternType="solid">
        <fgColor theme="5" tint="0.39997558519241921"/>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top style="medium">
        <color indexed="64"/>
      </top>
      <bottom style="medium">
        <color indexed="64"/>
      </bottom>
      <diagonal/>
    </border>
    <border>
      <left/>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right/>
      <top style="medium">
        <color indexed="23"/>
      </top>
      <bottom/>
      <diagonal/>
    </border>
    <border>
      <left/>
      <right/>
      <top/>
      <bottom style="medium">
        <color indexed="23"/>
      </bottom>
      <diagonal/>
    </border>
    <border>
      <left/>
      <right/>
      <top style="thin">
        <color indexed="23"/>
      </top>
      <bottom/>
      <diagonal/>
    </border>
    <border>
      <left/>
      <right/>
      <top style="thin">
        <color indexed="23"/>
      </top>
      <bottom style="medium">
        <color indexed="23"/>
      </bottom>
      <diagonal/>
    </border>
    <border>
      <left style="dotted">
        <color indexed="64"/>
      </left>
      <right style="dotted">
        <color indexed="64"/>
      </right>
      <top style="dotted">
        <color indexed="64"/>
      </top>
      <bottom style="dotted">
        <color indexed="64"/>
      </bottom>
      <diagonal/>
    </border>
    <border>
      <left/>
      <right/>
      <top style="medium">
        <color indexed="64"/>
      </top>
      <bottom style="medium">
        <color indexed="64"/>
      </bottom>
      <diagonal/>
    </border>
    <border>
      <left style="dotted">
        <color indexed="64"/>
      </left>
      <right style="dotted">
        <color indexed="64"/>
      </right>
      <top/>
      <bottom style="dotted">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style="medium">
        <color indexed="23"/>
      </top>
      <bottom style="medium">
        <color indexed="23"/>
      </bottom>
      <diagonal/>
    </border>
  </borders>
  <cellStyleXfs count="9">
    <xf numFmtId="0" fontId="0" fillId="0" borderId="0"/>
    <xf numFmtId="9" fontId="3" fillId="0" borderId="0" applyFont="0" applyFill="0" applyBorder="0" applyAlignment="0" applyProtection="0"/>
    <xf numFmtId="164" fontId="3" fillId="0" borderId="0" applyFont="0" applyFill="0" applyBorder="0" applyAlignment="0" applyProtection="0"/>
    <xf numFmtId="0" fontId="27" fillId="13" borderId="0" applyNumberFormat="0" applyBorder="0" applyAlignment="0" applyProtection="0"/>
    <xf numFmtId="0" fontId="28"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cellStyleXfs>
  <cellXfs count="259">
    <xf numFmtId="0" fontId="0" fillId="0" borderId="0" xfId="0"/>
    <xf numFmtId="0" fontId="0" fillId="0" borderId="0" xfId="0" applyAlignment="1">
      <alignment horizontal="center" vertical="center"/>
    </xf>
    <xf numFmtId="0" fontId="0" fillId="0" borderId="0" xfId="0" applyAlignment="1">
      <alignment horizontal="center"/>
    </xf>
    <xf numFmtId="0" fontId="4" fillId="0" borderId="0" xfId="0" applyFont="1"/>
    <xf numFmtId="10" fontId="6" fillId="6" borderId="1" xfId="1" applyNumberFormat="1" applyFont="1" applyFill="1" applyBorder="1" applyAlignment="1">
      <alignment horizontal="center"/>
    </xf>
    <xf numFmtId="10" fontId="0" fillId="0" borderId="0" xfId="1" applyNumberFormat="1" applyFont="1" applyAlignment="1">
      <alignment horizontal="center"/>
    </xf>
    <xf numFmtId="0" fontId="0" fillId="8" borderId="0" xfId="0" applyFill="1"/>
    <xf numFmtId="10" fontId="0" fillId="4" borderId="1" xfId="1" applyNumberFormat="1" applyFont="1" applyFill="1" applyBorder="1" applyAlignment="1">
      <alignment horizontal="center"/>
    </xf>
    <xf numFmtId="0" fontId="8" fillId="6" borderId="1" xfId="0" applyFont="1" applyFill="1" applyBorder="1"/>
    <xf numFmtId="0" fontId="8" fillId="7" borderId="1" xfId="0" applyFont="1" applyFill="1" applyBorder="1"/>
    <xf numFmtId="0" fontId="5" fillId="6" borderId="1" xfId="0" applyFont="1" applyFill="1" applyBorder="1" applyAlignment="1">
      <alignment vertical="center"/>
    </xf>
    <xf numFmtId="0" fontId="0" fillId="9" borderId="0" xfId="0" applyFill="1" applyAlignment="1">
      <alignment horizontal="center"/>
    </xf>
    <xf numFmtId="10" fontId="4" fillId="9" borderId="0" xfId="1" applyNumberFormat="1" applyFont="1" applyFill="1" applyBorder="1" applyAlignment="1">
      <alignment horizontal="center" vertical="center"/>
    </xf>
    <xf numFmtId="0" fontId="14" fillId="0" borderId="0" xfId="0" applyFont="1"/>
    <xf numFmtId="10" fontId="0" fillId="7" borderId="0" xfId="1" applyNumberFormat="1" applyFont="1" applyFill="1" applyAlignment="1">
      <alignment horizontal="center"/>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10" fontId="0" fillId="11" borderId="0" xfId="1" applyNumberFormat="1" applyFont="1" applyFill="1" applyBorder="1" applyAlignment="1">
      <alignment horizontal="center"/>
    </xf>
    <xf numFmtId="10" fontId="10" fillId="11" borderId="0" xfId="1" applyNumberFormat="1" applyFont="1" applyFill="1" applyAlignment="1">
      <alignment horizontal="center"/>
    </xf>
    <xf numFmtId="0" fontId="5" fillId="6" borderId="1" xfId="0" applyFont="1" applyFill="1" applyBorder="1" applyAlignment="1">
      <alignment horizontal="center" wrapText="1"/>
    </xf>
    <xf numFmtId="0" fontId="0" fillId="0" borderId="1" xfId="0" applyBorder="1"/>
    <xf numFmtId="10" fontId="16" fillId="11" borderId="0" xfId="1" applyNumberFormat="1" applyFont="1" applyFill="1" applyBorder="1" applyAlignment="1">
      <alignment horizontal="center"/>
    </xf>
    <xf numFmtId="0" fontId="17" fillId="12" borderId="5" xfId="0" applyFont="1" applyFill="1" applyBorder="1"/>
    <xf numFmtId="0" fontId="16" fillId="0" borderId="0" xfId="0" applyFont="1"/>
    <xf numFmtId="0" fontId="19" fillId="0" borderId="0" xfId="0" applyFont="1"/>
    <xf numFmtId="0" fontId="18" fillId="0" borderId="7" xfId="0" applyFont="1" applyBorder="1" applyAlignment="1">
      <alignment horizontal="left" vertical="center" wrapText="1"/>
    </xf>
    <xf numFmtId="10" fontId="0" fillId="10" borderId="8" xfId="1" applyNumberFormat="1" applyFont="1" applyFill="1" applyBorder="1" applyAlignment="1">
      <alignment horizontal="center" vertical="center"/>
    </xf>
    <xf numFmtId="10" fontId="4" fillId="3" borderId="8" xfId="0" applyNumberFormat="1" applyFont="1" applyFill="1" applyBorder="1" applyAlignment="1">
      <alignment horizontal="center" vertical="center"/>
    </xf>
    <xf numFmtId="10" fontId="4" fillId="3" borderId="2" xfId="0" applyNumberFormat="1" applyFont="1" applyFill="1" applyBorder="1" applyAlignment="1">
      <alignment horizontal="center" vertical="center"/>
    </xf>
    <xf numFmtId="10" fontId="4" fillId="4" borderId="9" xfId="1" applyNumberFormat="1" applyFont="1" applyFill="1" applyBorder="1" applyAlignment="1">
      <alignment horizontal="center" vertical="center"/>
    </xf>
    <xf numFmtId="10" fontId="4" fillId="4" borderId="10" xfId="1" applyNumberFormat="1" applyFont="1" applyFill="1" applyBorder="1" applyAlignment="1">
      <alignment horizontal="center" vertical="center"/>
    </xf>
    <xf numFmtId="0" fontId="0" fillId="0" borderId="0" xfId="0" applyAlignment="1">
      <alignment vertical="center" wrapText="1"/>
    </xf>
    <xf numFmtId="0" fontId="20" fillId="0" borderId="12" xfId="0" applyFont="1" applyBorder="1" applyAlignment="1">
      <alignment horizontal="center" vertical="center" wrapText="1"/>
    </xf>
    <xf numFmtId="0" fontId="20" fillId="0" borderId="14" xfId="0" applyFont="1" applyBorder="1" applyAlignment="1">
      <alignment horizontal="center" vertical="center" wrapText="1"/>
    </xf>
    <xf numFmtId="0" fontId="20" fillId="0" borderId="16" xfId="0" applyFont="1" applyBorder="1" applyAlignment="1">
      <alignment vertical="center" wrapText="1"/>
    </xf>
    <xf numFmtId="0" fontId="20" fillId="0" borderId="11" xfId="0" applyFont="1" applyBorder="1" applyAlignment="1">
      <alignment horizontal="center" vertical="center" wrapText="1"/>
    </xf>
    <xf numFmtId="0" fontId="20" fillId="0" borderId="13" xfId="0" applyFont="1" applyBorder="1" applyAlignment="1">
      <alignment horizontal="center" vertical="center" wrapText="1"/>
    </xf>
    <xf numFmtId="0" fontId="20" fillId="0" borderId="17" xfId="0" applyFont="1" applyBorder="1" applyAlignment="1">
      <alignment vertical="center" wrapText="1"/>
    </xf>
    <xf numFmtId="0" fontId="5" fillId="0" borderId="21" xfId="0" applyFont="1" applyBorder="1" applyAlignment="1">
      <alignment vertical="center" wrapText="1"/>
    </xf>
    <xf numFmtId="0" fontId="5" fillId="0" borderId="0" xfId="0" applyFont="1" applyAlignment="1">
      <alignment vertical="center" wrapText="1"/>
    </xf>
    <xf numFmtId="10" fontId="6" fillId="12" borderId="1" xfId="1" applyNumberFormat="1" applyFont="1" applyFill="1" applyBorder="1" applyAlignment="1">
      <alignment horizontal="center"/>
    </xf>
    <xf numFmtId="10" fontId="6" fillId="0" borderId="1" xfId="1" applyNumberFormat="1" applyFont="1" applyFill="1" applyBorder="1" applyAlignment="1">
      <alignment horizontal="center"/>
    </xf>
    <xf numFmtId="10" fontId="6" fillId="7" borderId="1" xfId="1" applyNumberFormat="1" applyFont="1" applyFill="1" applyBorder="1" applyAlignment="1">
      <alignment horizontal="center"/>
    </xf>
    <xf numFmtId="0" fontId="24" fillId="0" borderId="0" xfId="0" applyFont="1" applyAlignment="1">
      <alignment horizontal="center" vertical="center"/>
    </xf>
    <xf numFmtId="0" fontId="5" fillId="6" borderId="6" xfId="0" applyFont="1" applyFill="1" applyBorder="1" applyAlignment="1">
      <alignment horizontal="center" vertical="center" wrapText="1"/>
    </xf>
    <xf numFmtId="10" fontId="5" fillId="6" borderId="22" xfId="1" applyNumberFormat="1" applyFont="1" applyFill="1" applyBorder="1" applyAlignment="1">
      <alignment horizontal="center" vertical="center" wrapText="1"/>
    </xf>
    <xf numFmtId="165" fontId="5" fillId="6" borderId="23" xfId="2" applyNumberFormat="1" applyFont="1" applyFill="1" applyBorder="1" applyAlignment="1">
      <alignment horizontal="center" vertical="center" wrapText="1"/>
    </xf>
    <xf numFmtId="165" fontId="5" fillId="6" borderId="6" xfId="2" applyNumberFormat="1" applyFont="1" applyFill="1" applyBorder="1" applyAlignment="1">
      <alignment horizontal="center" vertical="center" wrapText="1"/>
    </xf>
    <xf numFmtId="0" fontId="0" fillId="0" borderId="24" xfId="0" applyBorder="1"/>
    <xf numFmtId="0" fontId="0" fillId="0" borderId="2" xfId="0" applyBorder="1"/>
    <xf numFmtId="10" fontId="6" fillId="6" borderId="26" xfId="1" applyNumberFormat="1" applyFont="1" applyFill="1" applyBorder="1" applyAlignment="1">
      <alignment horizontal="center"/>
    </xf>
    <xf numFmtId="0" fontId="0" fillId="0" borderId="10" xfId="0" applyBorder="1"/>
    <xf numFmtId="0" fontId="23" fillId="12" borderId="1" xfId="0" applyFont="1" applyFill="1" applyBorder="1" applyAlignment="1">
      <alignment horizontal="center" vertical="center" wrapText="1"/>
    </xf>
    <xf numFmtId="0" fontId="13" fillId="6" borderId="1" xfId="0" applyFont="1" applyFill="1" applyBorder="1" applyAlignment="1">
      <alignment horizontal="center"/>
    </xf>
    <xf numFmtId="0" fontId="23" fillId="0" borderId="1" xfId="0" applyFont="1" applyBorder="1" applyAlignment="1">
      <alignment horizontal="center" vertical="center" wrapText="1"/>
    </xf>
    <xf numFmtId="0" fontId="23" fillId="6" borderId="1" xfId="0" applyFont="1" applyFill="1" applyBorder="1" applyAlignment="1">
      <alignment horizontal="center" vertical="center" wrapText="1"/>
    </xf>
    <xf numFmtId="0" fontId="23" fillId="7" borderId="1" xfId="0" applyFont="1" applyFill="1" applyBorder="1" applyAlignment="1">
      <alignment horizontal="center" vertical="center" wrapText="1"/>
    </xf>
    <xf numFmtId="0" fontId="23" fillId="12" borderId="25" xfId="0" applyFont="1" applyFill="1" applyBorder="1" applyAlignment="1">
      <alignment horizontal="center" vertical="center" wrapText="1"/>
    </xf>
    <xf numFmtId="0" fontId="23" fillId="7" borderId="26" xfId="0" applyFont="1" applyFill="1" applyBorder="1" applyAlignment="1">
      <alignment horizontal="center" vertical="center" wrapText="1"/>
    </xf>
    <xf numFmtId="0" fontId="5" fillId="6" borderId="25" xfId="0" applyFont="1" applyFill="1" applyBorder="1" applyAlignment="1">
      <alignment horizontal="center" vertical="center" wrapText="1"/>
    </xf>
    <xf numFmtId="10" fontId="5" fillId="6" borderId="25" xfId="1" applyNumberFormat="1" applyFont="1" applyFill="1" applyBorder="1" applyAlignment="1">
      <alignment horizontal="center" vertical="center" wrapText="1"/>
    </xf>
    <xf numFmtId="165" fontId="5" fillId="6" borderId="25" xfId="2" applyNumberFormat="1" applyFont="1" applyFill="1" applyBorder="1" applyAlignment="1">
      <alignment horizontal="center" vertical="center" wrapText="1"/>
    </xf>
    <xf numFmtId="165" fontId="5" fillId="6" borderId="24" xfId="2" applyNumberFormat="1" applyFont="1" applyFill="1" applyBorder="1" applyAlignment="1">
      <alignment horizontal="center" vertical="center" wrapText="1"/>
    </xf>
    <xf numFmtId="10" fontId="5" fillId="6" borderId="1" xfId="1" applyNumberFormat="1" applyFont="1" applyFill="1" applyBorder="1" applyAlignment="1">
      <alignment horizontal="center" vertical="center" wrapText="1"/>
    </xf>
    <xf numFmtId="165" fontId="5" fillId="6" borderId="1" xfId="2" applyNumberFormat="1" applyFont="1" applyFill="1" applyBorder="1" applyAlignment="1">
      <alignment horizontal="center" vertical="center" wrapText="1"/>
    </xf>
    <xf numFmtId="0" fontId="11" fillId="6" borderId="27" xfId="0" applyFont="1" applyFill="1" applyBorder="1" applyAlignment="1">
      <alignment horizontal="center"/>
    </xf>
    <xf numFmtId="0" fontId="11" fillId="6" borderId="4" xfId="0" applyFont="1" applyFill="1" applyBorder="1" applyAlignment="1">
      <alignment horizontal="center"/>
    </xf>
    <xf numFmtId="0" fontId="11" fillId="7" borderId="4" xfId="0" applyFont="1" applyFill="1" applyBorder="1" applyAlignment="1">
      <alignment horizontal="center"/>
    </xf>
    <xf numFmtId="0" fontId="11" fillId="7" borderId="27" xfId="0" applyFont="1" applyFill="1" applyBorder="1" applyAlignment="1">
      <alignment horizontal="center"/>
    </xf>
    <xf numFmtId="0" fontId="15" fillId="0" borderId="28" xfId="0" applyFont="1" applyBorder="1" applyAlignment="1">
      <alignment horizontal="center" vertical="center" wrapText="1"/>
    </xf>
    <xf numFmtId="164" fontId="12" fillId="2" borderId="29" xfId="2" applyFont="1" applyFill="1" applyBorder="1" applyAlignment="1">
      <alignment horizontal="center" vertical="center" wrapText="1"/>
    </xf>
    <xf numFmtId="0" fontId="12" fillId="7" borderId="28" xfId="0" applyFont="1" applyFill="1" applyBorder="1" applyAlignment="1">
      <alignment horizontal="center" vertical="center" wrapText="1"/>
    </xf>
    <xf numFmtId="0" fontId="0" fillId="5" borderId="1" xfId="0" applyFill="1" applyBorder="1" applyAlignment="1">
      <alignment horizontal="center" vertical="center"/>
    </xf>
    <xf numFmtId="0" fontId="5" fillId="6" borderId="1" xfId="0" applyFont="1" applyFill="1" applyBorder="1"/>
    <xf numFmtId="0" fontId="5" fillId="7" borderId="1" xfId="0" applyFont="1" applyFill="1" applyBorder="1"/>
    <xf numFmtId="0" fontId="26" fillId="0" borderId="0" xfId="0" applyFont="1" applyAlignment="1">
      <alignment vertical="center"/>
    </xf>
    <xf numFmtId="10" fontId="9" fillId="0" borderId="1" xfId="1" applyNumberFormat="1" applyFont="1" applyBorder="1" applyAlignment="1">
      <alignment horizontal="center" wrapText="1"/>
    </xf>
    <xf numFmtId="0" fontId="4" fillId="8" borderId="1" xfId="0" applyFont="1" applyFill="1" applyBorder="1"/>
    <xf numFmtId="0" fontId="4" fillId="0" borderId="1" xfId="0" applyFont="1" applyBorder="1"/>
    <xf numFmtId="10" fontId="4" fillId="0" borderId="1" xfId="1" applyNumberFormat="1" applyFont="1" applyBorder="1" applyAlignment="1">
      <alignment horizontal="center"/>
    </xf>
    <xf numFmtId="0" fontId="2" fillId="16" borderId="0" xfId="6"/>
    <xf numFmtId="10" fontId="2" fillId="16" borderId="0" xfId="6" applyNumberFormat="1" applyAlignment="1">
      <alignment horizontal="center"/>
    </xf>
    <xf numFmtId="10" fontId="2" fillId="15" borderId="0" xfId="5" applyNumberFormat="1" applyBorder="1" applyAlignment="1">
      <alignment horizontal="center"/>
    </xf>
    <xf numFmtId="0" fontId="2" fillId="15" borderId="0" xfId="5" applyBorder="1"/>
    <xf numFmtId="10" fontId="2" fillId="17" borderId="0" xfId="7" applyNumberFormat="1" applyAlignment="1">
      <alignment horizontal="center"/>
    </xf>
    <xf numFmtId="0" fontId="2" fillId="17" borderId="0" xfId="7"/>
    <xf numFmtId="0" fontId="2" fillId="18" borderId="0" xfId="8"/>
    <xf numFmtId="0" fontId="2" fillId="18" borderId="0" xfId="8" applyAlignment="1">
      <alignment horizontal="center" vertical="center"/>
    </xf>
    <xf numFmtId="10" fontId="2" fillId="18" borderId="0" xfId="8" applyNumberFormat="1" applyAlignment="1">
      <alignment horizontal="center"/>
    </xf>
    <xf numFmtId="0" fontId="0" fillId="0" borderId="6" xfId="0" applyBorder="1"/>
    <xf numFmtId="10" fontId="0" fillId="4" borderId="6" xfId="1" applyNumberFormat="1" applyFont="1" applyFill="1" applyBorder="1" applyAlignment="1">
      <alignment horizontal="center"/>
    </xf>
    <xf numFmtId="10" fontId="0" fillId="7" borderId="1" xfId="1" applyNumberFormat="1" applyFont="1" applyFill="1" applyBorder="1" applyAlignment="1">
      <alignment horizontal="center"/>
    </xf>
    <xf numFmtId="10" fontId="4" fillId="0" borderId="1" xfId="0" applyNumberFormat="1" applyFont="1" applyBorder="1"/>
    <xf numFmtId="10" fontId="4" fillId="7" borderId="1" xfId="1" applyNumberFormat="1" applyFont="1" applyFill="1" applyBorder="1" applyAlignment="1">
      <alignment horizontal="center"/>
    </xf>
    <xf numFmtId="164" fontId="4" fillId="2" borderId="29" xfId="2" applyFont="1" applyFill="1" applyBorder="1" applyAlignment="1">
      <alignment horizontal="center" vertical="center" wrapText="1"/>
    </xf>
    <xf numFmtId="0" fontId="11" fillId="7" borderId="4" xfId="0" applyFont="1" applyFill="1" applyBorder="1"/>
    <xf numFmtId="0" fontId="27" fillId="13" borderId="1" xfId="3" applyBorder="1" applyAlignment="1">
      <alignment horizontal="center" vertical="center" wrapText="1"/>
    </xf>
    <xf numFmtId="0" fontId="28" fillId="14" borderId="1" xfId="4" applyBorder="1" applyAlignment="1">
      <alignment horizontal="center" vertical="center" wrapText="1"/>
    </xf>
    <xf numFmtId="0" fontId="2" fillId="16" borderId="1" xfId="6" applyBorder="1" applyAlignment="1">
      <alignment horizontal="center" vertical="center" wrapText="1"/>
    </xf>
    <xf numFmtId="0" fontId="2" fillId="15" borderId="1" xfId="5" applyBorder="1" applyAlignment="1">
      <alignment horizontal="center" vertical="center" wrapText="1"/>
    </xf>
    <xf numFmtId="0" fontId="0" fillId="19" borderId="0" xfId="0" applyFill="1" applyAlignment="1">
      <alignment horizontal="center"/>
    </xf>
    <xf numFmtId="0" fontId="0" fillId="20" borderId="0" xfId="0" applyFill="1" applyAlignment="1">
      <alignment horizontal="center"/>
    </xf>
    <xf numFmtId="0" fontId="0" fillId="21" borderId="0" xfId="0" applyFill="1" applyAlignment="1">
      <alignment horizontal="center"/>
    </xf>
    <xf numFmtId="0" fontId="18" fillId="20" borderId="0" xfId="0" applyFont="1" applyFill="1" applyAlignment="1">
      <alignment horizontal="center"/>
    </xf>
    <xf numFmtId="0" fontId="18" fillId="21" borderId="0" xfId="0" applyFont="1" applyFill="1" applyAlignment="1">
      <alignment horizontal="center"/>
    </xf>
    <xf numFmtId="0" fontId="18" fillId="19" borderId="0" xfId="0" applyFont="1" applyFill="1" applyAlignment="1">
      <alignment horizontal="center"/>
    </xf>
    <xf numFmtId="0" fontId="29" fillId="0" borderId="0" xfId="0" applyFont="1"/>
    <xf numFmtId="10" fontId="22" fillId="0" borderId="0" xfId="0" applyNumberFormat="1" applyFont="1" applyAlignment="1">
      <alignment horizontal="center"/>
    </xf>
    <xf numFmtId="0" fontId="22" fillId="0" borderId="0" xfId="0" applyFont="1" applyAlignment="1">
      <alignment horizontal="center"/>
    </xf>
    <xf numFmtId="10" fontId="4" fillId="9" borderId="0" xfId="0" applyNumberFormat="1" applyFont="1" applyFill="1" applyAlignment="1">
      <alignment horizontal="center" vertical="center"/>
    </xf>
    <xf numFmtId="9" fontId="4" fillId="9" borderId="0" xfId="0" applyNumberFormat="1" applyFont="1" applyFill="1" applyAlignment="1">
      <alignment horizontal="center" vertical="center"/>
    </xf>
    <xf numFmtId="0" fontId="32" fillId="0" borderId="0" xfId="0" applyFont="1" applyAlignment="1">
      <alignment vertical="center"/>
    </xf>
    <xf numFmtId="0" fontId="3" fillId="0" borderId="0" xfId="0" applyFont="1"/>
    <xf numFmtId="0" fontId="4" fillId="0" borderId="0" xfId="0" applyFont="1" applyAlignment="1">
      <alignment horizontal="left"/>
    </xf>
    <xf numFmtId="0" fontId="1" fillId="0" borderId="0" xfId="0" applyFont="1"/>
    <xf numFmtId="9" fontId="3" fillId="0" borderId="0" xfId="1" applyFont="1"/>
    <xf numFmtId="0" fontId="4" fillId="0" borderId="0" xfId="0" applyFont="1" applyAlignment="1">
      <alignment horizontal="center"/>
    </xf>
    <xf numFmtId="0" fontId="4" fillId="0" borderId="0" xfId="0" applyFont="1" applyAlignment="1">
      <alignment horizontal="right" wrapText="1"/>
    </xf>
    <xf numFmtId="0" fontId="4" fillId="0" borderId="0" xfId="0" applyFont="1" applyAlignment="1">
      <alignment horizontal="right"/>
    </xf>
    <xf numFmtId="10" fontId="4" fillId="24" borderId="1" xfId="0" applyNumberFormat="1" applyFont="1" applyFill="1" applyBorder="1" applyAlignment="1">
      <alignment horizontal="center"/>
    </xf>
    <xf numFmtId="0" fontId="30" fillId="0" borderId="0" xfId="0" applyFont="1" applyAlignment="1">
      <alignment horizontal="center"/>
    </xf>
    <xf numFmtId="9" fontId="3" fillId="8" borderId="1" xfId="1" applyFont="1" applyFill="1" applyBorder="1" applyAlignment="1">
      <alignment horizontal="center"/>
    </xf>
    <xf numFmtId="9" fontId="3" fillId="8" borderId="1" xfId="0" applyNumberFormat="1" applyFont="1" applyFill="1" applyBorder="1" applyAlignment="1">
      <alignment horizontal="center"/>
    </xf>
    <xf numFmtId="0" fontId="3" fillId="0" borderId="0" xfId="0" applyFont="1" applyAlignment="1">
      <alignment horizontal="center"/>
    </xf>
    <xf numFmtId="0" fontId="33" fillId="0" borderId="0" xfId="0" applyFont="1"/>
    <xf numFmtId="0" fontId="34" fillId="0" borderId="0" xfId="0" applyFont="1" applyAlignment="1">
      <alignment horizontal="center"/>
    </xf>
    <xf numFmtId="10" fontId="3" fillId="0" borderId="0" xfId="0" applyNumberFormat="1" applyFont="1"/>
    <xf numFmtId="10" fontId="0" fillId="0" borderId="0" xfId="0" applyNumberFormat="1"/>
    <xf numFmtId="9" fontId="0" fillId="0" borderId="0" xfId="1" applyFont="1"/>
    <xf numFmtId="9" fontId="22" fillId="22" borderId="1" xfId="0" applyNumberFormat="1" applyFont="1" applyFill="1" applyBorder="1" applyAlignment="1">
      <alignment horizontal="center"/>
    </xf>
    <xf numFmtId="9" fontId="0" fillId="8" borderId="1" xfId="1" applyFont="1" applyFill="1" applyBorder="1" applyAlignment="1">
      <alignment horizontal="center"/>
    </xf>
    <xf numFmtId="166" fontId="18" fillId="7" borderId="1" xfId="2" applyNumberFormat="1" applyFont="1" applyFill="1" applyBorder="1" applyAlignment="1">
      <alignment horizontal="center" vertical="center"/>
    </xf>
    <xf numFmtId="166" fontId="3" fillId="7" borderId="1" xfId="2" applyNumberFormat="1" applyFont="1" applyFill="1" applyBorder="1" applyAlignment="1">
      <alignment horizontal="center" vertical="center"/>
    </xf>
    <xf numFmtId="9" fontId="4" fillId="24" borderId="26" xfId="1" applyFont="1" applyFill="1" applyBorder="1" applyAlignment="1">
      <alignment horizontal="center" vertical="center"/>
    </xf>
    <xf numFmtId="9" fontId="3" fillId="0" borderId="0" xfId="0" applyNumberFormat="1" applyFont="1"/>
    <xf numFmtId="9" fontId="0" fillId="0" borderId="0" xfId="0" applyNumberFormat="1"/>
    <xf numFmtId="0" fontId="0" fillId="0" borderId="0" xfId="0" applyAlignment="1">
      <alignment wrapText="1"/>
    </xf>
    <xf numFmtId="0" fontId="4" fillId="24" borderId="9" xfId="1" applyNumberFormat="1" applyFont="1" applyFill="1" applyBorder="1" applyAlignment="1">
      <alignment horizontal="center" vertical="center"/>
    </xf>
    <xf numFmtId="0" fontId="4" fillId="24" borderId="26" xfId="1" applyNumberFormat="1" applyFont="1" applyFill="1" applyBorder="1" applyAlignment="1">
      <alignment horizontal="center" vertical="center"/>
    </xf>
    <xf numFmtId="0" fontId="4" fillId="24" borderId="10" xfId="1" applyNumberFormat="1" applyFont="1" applyFill="1" applyBorder="1" applyAlignment="1">
      <alignment horizontal="center" vertical="center"/>
    </xf>
    <xf numFmtId="0" fontId="3" fillId="8" borderId="1" xfId="1" applyNumberFormat="1" applyFont="1" applyFill="1" applyBorder="1" applyAlignment="1">
      <alignment horizontal="center"/>
    </xf>
    <xf numFmtId="0" fontId="3" fillId="8" borderId="1" xfId="0" applyFont="1" applyFill="1" applyBorder="1" applyAlignment="1">
      <alignment horizontal="center"/>
    </xf>
    <xf numFmtId="0" fontId="3" fillId="0" borderId="0" xfId="1" applyNumberFormat="1" applyFont="1"/>
    <xf numFmtId="0" fontId="22" fillId="22" borderId="1" xfId="0" applyFont="1" applyFill="1" applyBorder="1" applyAlignment="1">
      <alignment horizontal="center"/>
    </xf>
    <xf numFmtId="0" fontId="0" fillId="0" borderId="0" xfId="1" applyNumberFormat="1" applyFont="1"/>
    <xf numFmtId="0" fontId="0" fillId="7" borderId="35" xfId="1" applyNumberFormat="1" applyFont="1" applyFill="1" applyBorder="1"/>
    <xf numFmtId="0" fontId="0" fillId="7" borderId="35" xfId="0" applyFill="1" applyBorder="1"/>
    <xf numFmtId="0" fontId="22" fillId="25" borderId="35" xfId="0" applyFont="1" applyFill="1" applyBorder="1" applyAlignment="1">
      <alignment horizontal="center"/>
    </xf>
    <xf numFmtId="0" fontId="3" fillId="7" borderId="35" xfId="0" applyFont="1" applyFill="1" applyBorder="1" applyAlignment="1">
      <alignment horizontal="center"/>
    </xf>
    <xf numFmtId="0" fontId="4" fillId="7" borderId="35" xfId="0" applyFont="1" applyFill="1" applyBorder="1"/>
    <xf numFmtId="9" fontId="0" fillId="0" borderId="2" xfId="0" applyNumberFormat="1" applyBorder="1"/>
    <xf numFmtId="10" fontId="0" fillId="5" borderId="0" xfId="0" applyNumberFormat="1" applyFill="1"/>
    <xf numFmtId="10" fontId="0" fillId="0" borderId="1" xfId="0" applyNumberFormat="1" applyBorder="1"/>
    <xf numFmtId="9" fontId="4" fillId="24" borderId="9" xfId="1" applyFont="1" applyFill="1" applyBorder="1" applyAlignment="1">
      <alignment horizontal="center" vertical="center"/>
    </xf>
    <xf numFmtId="9" fontId="4" fillId="24" borderId="10" xfId="1" applyFont="1" applyFill="1" applyBorder="1" applyAlignment="1">
      <alignment horizontal="center" vertical="center"/>
    </xf>
    <xf numFmtId="0" fontId="29" fillId="0" borderId="14" xfId="0" applyFont="1" applyBorder="1" applyAlignment="1">
      <alignment horizontal="center" vertical="center"/>
    </xf>
    <xf numFmtId="0" fontId="29" fillId="0" borderId="15" xfId="0" applyFont="1" applyBorder="1" applyAlignment="1">
      <alignment horizontal="center" vertical="center"/>
    </xf>
    <xf numFmtId="0" fontId="29" fillId="0" borderId="17" xfId="0" applyFont="1" applyBorder="1" applyAlignment="1">
      <alignment horizontal="center" vertical="center"/>
    </xf>
    <xf numFmtId="0" fontId="21" fillId="0" borderId="13" xfId="0" applyFont="1" applyBorder="1" applyAlignment="1">
      <alignment horizontal="center" vertical="center" wrapText="1"/>
    </xf>
    <xf numFmtId="0" fontId="21" fillId="0" borderId="17" xfId="0" applyFont="1" applyBorder="1" applyAlignment="1">
      <alignment horizontal="center" vertical="center" wrapText="1"/>
    </xf>
    <xf numFmtId="0" fontId="22" fillId="0" borderId="17" xfId="0" applyFont="1" applyBorder="1" applyAlignment="1">
      <alignment horizontal="center" vertical="center"/>
    </xf>
    <xf numFmtId="0" fontId="22" fillId="0" borderId="36" xfId="0" applyFont="1" applyBorder="1" applyAlignment="1">
      <alignment horizontal="center" vertical="center"/>
    </xf>
    <xf numFmtId="0" fontId="21" fillId="0" borderId="12" xfId="0" applyFont="1" applyBorder="1" applyAlignment="1">
      <alignment horizontal="center" vertical="center" wrapText="1"/>
    </xf>
    <xf numFmtId="0" fontId="21" fillId="0" borderId="14" xfId="0" applyFont="1" applyBorder="1" applyAlignment="1">
      <alignment horizontal="center" vertical="center" wrapText="1"/>
    </xf>
    <xf numFmtId="0" fontId="22" fillId="0" borderId="14" xfId="0" applyFont="1" applyBorder="1" applyAlignment="1">
      <alignment horizontal="center" vertical="center"/>
    </xf>
    <xf numFmtId="0" fontId="0" fillId="0" borderId="13" xfId="0" applyBorder="1" applyAlignment="1">
      <alignment horizontal="center"/>
    </xf>
    <xf numFmtId="0" fontId="20" fillId="19" borderId="12" xfId="0" applyFont="1" applyFill="1" applyBorder="1" applyAlignment="1">
      <alignment horizontal="center" vertical="center" wrapText="1"/>
    </xf>
    <xf numFmtId="0" fontId="29" fillId="19" borderId="13" xfId="0" applyFont="1" applyFill="1" applyBorder="1" applyAlignment="1">
      <alignment horizontal="center" vertical="center"/>
    </xf>
    <xf numFmtId="0" fontId="9" fillId="20" borderId="13" xfId="0" applyFont="1" applyFill="1" applyBorder="1" applyAlignment="1">
      <alignment horizontal="center"/>
    </xf>
    <xf numFmtId="0" fontId="29" fillId="20" borderId="13" xfId="0" applyFont="1" applyFill="1" applyBorder="1" applyAlignment="1">
      <alignment horizontal="center" vertical="center"/>
    </xf>
    <xf numFmtId="0" fontId="29" fillId="20" borderId="15" xfId="0" applyFont="1" applyFill="1" applyBorder="1" applyAlignment="1">
      <alignment horizontal="center" vertical="center"/>
    </xf>
    <xf numFmtId="0" fontId="9" fillId="21" borderId="25" xfId="0" applyFont="1" applyFill="1" applyBorder="1" applyAlignment="1">
      <alignment horizontal="center"/>
    </xf>
    <xf numFmtId="0" fontId="4" fillId="21" borderId="21" xfId="0" applyFont="1" applyFill="1" applyBorder="1" applyAlignment="1">
      <alignment horizontal="center"/>
    </xf>
    <xf numFmtId="0" fontId="9" fillId="21" borderId="24" xfId="0" applyFont="1" applyFill="1" applyBorder="1" applyAlignment="1">
      <alignment horizontal="center"/>
    </xf>
    <xf numFmtId="0" fontId="4" fillId="0" borderId="0" xfId="0" applyFont="1" applyAlignment="1">
      <alignment horizontal="left" indent="18"/>
    </xf>
    <xf numFmtId="0" fontId="22" fillId="0" borderId="0" xfId="0" applyFont="1"/>
    <xf numFmtId="0" fontId="5" fillId="0" borderId="0" xfId="0" applyFont="1"/>
    <xf numFmtId="9" fontId="22" fillId="0" borderId="1" xfId="0" applyNumberFormat="1" applyFont="1" applyBorder="1" applyAlignment="1">
      <alignment horizontal="center"/>
    </xf>
    <xf numFmtId="166" fontId="3" fillId="0" borderId="0" xfId="2" applyNumberFormat="1" applyFont="1" applyFill="1" applyBorder="1" applyAlignment="1">
      <alignment horizontal="center" vertical="center"/>
    </xf>
    <xf numFmtId="9" fontId="3" fillId="0" borderId="0" xfId="1" applyFont="1" applyFill="1" applyBorder="1" applyAlignment="1">
      <alignment horizontal="center"/>
    </xf>
    <xf numFmtId="0" fontId="0" fillId="7" borderId="37" xfId="1" applyNumberFormat="1" applyFont="1" applyFill="1" applyBorder="1"/>
    <xf numFmtId="0" fontId="0" fillId="7" borderId="37" xfId="0" applyFill="1" applyBorder="1"/>
    <xf numFmtId="0" fontId="0" fillId="0" borderId="0" xfId="1" applyNumberFormat="1" applyFont="1" applyFill="1" applyBorder="1"/>
    <xf numFmtId="0" fontId="3" fillId="0" borderId="16" xfId="0" applyFont="1" applyBorder="1"/>
    <xf numFmtId="0" fontId="31" fillId="23" borderId="8" xfId="0" applyFont="1" applyFill="1" applyBorder="1" applyAlignment="1">
      <alignment horizontal="center" vertical="center" wrapText="1" readingOrder="1"/>
    </xf>
    <xf numFmtId="0" fontId="31" fillId="23" borderId="2" xfId="0" applyFont="1" applyFill="1" applyBorder="1" applyAlignment="1">
      <alignment horizontal="center" vertical="center" wrapText="1" readingOrder="1"/>
    </xf>
    <xf numFmtId="10" fontId="4" fillId="26" borderId="9" xfId="0" applyNumberFormat="1" applyFont="1" applyFill="1" applyBorder="1" applyAlignment="1">
      <alignment horizontal="center" vertical="center"/>
    </xf>
    <xf numFmtId="10" fontId="4" fillId="26" borderId="10" xfId="0" applyNumberFormat="1" applyFont="1" applyFill="1" applyBorder="1" applyAlignment="1">
      <alignment horizontal="center" vertical="center"/>
    </xf>
    <xf numFmtId="0" fontId="4" fillId="0" borderId="7" xfId="0" applyFont="1" applyBorder="1" applyAlignment="1">
      <alignment horizontal="left"/>
    </xf>
    <xf numFmtId="0" fontId="3" fillId="0" borderId="39" xfId="0" applyFont="1" applyBorder="1"/>
    <xf numFmtId="0" fontId="31" fillId="23" borderId="40" xfId="0" applyFont="1" applyFill="1" applyBorder="1" applyAlignment="1">
      <alignment horizontal="center" vertical="center" wrapText="1" readingOrder="1"/>
    </xf>
    <xf numFmtId="0" fontId="31" fillId="23" borderId="41" xfId="0" applyFont="1" applyFill="1" applyBorder="1" applyAlignment="1">
      <alignment horizontal="center" vertical="center" wrapText="1" readingOrder="1"/>
    </xf>
    <xf numFmtId="0" fontId="3" fillId="0" borderId="7" xfId="0" applyFont="1" applyBorder="1"/>
    <xf numFmtId="0" fontId="31" fillId="23" borderId="7" xfId="0" applyFont="1" applyFill="1" applyBorder="1" applyAlignment="1">
      <alignment horizontal="center" vertical="center" wrapText="1" readingOrder="1"/>
    </xf>
    <xf numFmtId="0" fontId="11" fillId="6" borderId="30" xfId="0" applyFont="1" applyFill="1" applyBorder="1" applyAlignment="1">
      <alignment horizontal="center"/>
    </xf>
    <xf numFmtId="0" fontId="11" fillId="6" borderId="24" xfId="0" applyFont="1" applyFill="1" applyBorder="1" applyAlignment="1">
      <alignment horizontal="center"/>
    </xf>
    <xf numFmtId="0" fontId="3" fillId="0" borderId="38" xfId="0" applyFont="1" applyBorder="1" applyAlignment="1">
      <alignment horizontal="left" indent="6"/>
    </xf>
    <xf numFmtId="0" fontId="3" fillId="0" borderId="16" xfId="0" applyFont="1" applyBorder="1" applyAlignment="1">
      <alignment horizontal="left" indent="6"/>
    </xf>
    <xf numFmtId="0" fontId="11" fillId="7" borderId="24" xfId="0" applyFont="1" applyFill="1" applyBorder="1" applyAlignment="1">
      <alignment horizontal="center"/>
    </xf>
    <xf numFmtId="0" fontId="0" fillId="0" borderId="38" xfId="0" applyBorder="1" applyAlignment="1">
      <alignment horizontal="left" indent="2"/>
    </xf>
    <xf numFmtId="0" fontId="11" fillId="7" borderId="30" xfId="0" applyFont="1" applyFill="1" applyBorder="1" applyAlignment="1">
      <alignment horizontal="center"/>
    </xf>
    <xf numFmtId="0" fontId="11" fillId="7" borderId="24" xfId="0" applyFont="1" applyFill="1" applyBorder="1"/>
    <xf numFmtId="0" fontId="3" fillId="0" borderId="42" xfId="0" applyFont="1" applyBorder="1" applyAlignment="1">
      <alignment horizontal="left" indent="6"/>
    </xf>
    <xf numFmtId="0" fontId="3" fillId="0" borderId="22" xfId="0" applyFont="1" applyBorder="1" applyAlignment="1">
      <alignment horizontal="left" indent="6"/>
    </xf>
    <xf numFmtId="0" fontId="3" fillId="0" borderId="22" xfId="0" applyFont="1" applyBorder="1"/>
    <xf numFmtId="0" fontId="0" fillId="0" borderId="42" xfId="0" applyBorder="1" applyAlignment="1">
      <alignment horizontal="left" indent="2"/>
    </xf>
    <xf numFmtId="0" fontId="18" fillId="19" borderId="38" xfId="0" applyFont="1" applyFill="1" applyBorder="1" applyAlignment="1">
      <alignment horizontal="center"/>
    </xf>
    <xf numFmtId="0" fontId="18" fillId="19" borderId="21" xfId="0" applyFont="1" applyFill="1" applyBorder="1" applyAlignment="1">
      <alignment horizontal="center"/>
    </xf>
    <xf numFmtId="0" fontId="18" fillId="20" borderId="21" xfId="0" applyFont="1" applyFill="1" applyBorder="1" applyAlignment="1">
      <alignment horizontal="center"/>
    </xf>
    <xf numFmtId="0" fontId="18" fillId="21" borderId="21" xfId="0" applyFont="1" applyFill="1" applyBorder="1" applyAlignment="1">
      <alignment horizontal="center"/>
    </xf>
    <xf numFmtId="0" fontId="18" fillId="21" borderId="16" xfId="0" applyFont="1" applyFill="1" applyBorder="1" applyAlignment="1">
      <alignment horizontal="center"/>
    </xf>
    <xf numFmtId="9" fontId="0" fillId="0" borderId="10" xfId="0" applyNumberFormat="1" applyBorder="1"/>
    <xf numFmtId="0" fontId="23" fillId="4" borderId="11" xfId="0" applyFont="1" applyFill="1" applyBorder="1" applyAlignment="1">
      <alignment horizontal="center" vertical="center" wrapText="1"/>
    </xf>
    <xf numFmtId="0" fontId="23" fillId="4" borderId="16" xfId="0" applyFont="1" applyFill="1" applyBorder="1" applyAlignment="1">
      <alignment horizontal="center" vertical="center" wrapText="1"/>
    </xf>
    <xf numFmtId="0" fontId="23" fillId="20" borderId="16" xfId="0" applyFont="1" applyFill="1" applyBorder="1" applyAlignment="1">
      <alignment horizontal="center" vertical="center" wrapText="1"/>
    </xf>
    <xf numFmtId="0" fontId="23" fillId="27" borderId="16" xfId="0" applyFont="1" applyFill="1" applyBorder="1" applyAlignment="1">
      <alignment horizontal="center" vertical="center" wrapText="1"/>
    </xf>
    <xf numFmtId="0" fontId="23" fillId="26" borderId="16" xfId="0" applyFont="1" applyFill="1" applyBorder="1" applyAlignment="1">
      <alignment horizontal="center" vertical="center" wrapText="1"/>
    </xf>
    <xf numFmtId="0" fontId="4" fillId="0" borderId="38" xfId="0" applyFont="1" applyBorder="1" applyAlignment="1">
      <alignment horizontal="center"/>
    </xf>
    <xf numFmtId="0" fontId="4" fillId="0" borderId="43" xfId="0" applyFont="1" applyBorder="1" applyAlignment="1">
      <alignment horizontal="center"/>
    </xf>
    <xf numFmtId="0" fontId="4" fillId="0" borderId="44" xfId="0" applyFont="1" applyBorder="1" applyAlignment="1">
      <alignment horizontal="center" wrapText="1"/>
    </xf>
    <xf numFmtId="0" fontId="36" fillId="19" borderId="21" xfId="0" applyFont="1" applyFill="1" applyBorder="1" applyAlignment="1">
      <alignment horizontal="center"/>
    </xf>
    <xf numFmtId="0" fontId="36" fillId="20" borderId="21" xfId="0" applyFont="1" applyFill="1" applyBorder="1" applyAlignment="1">
      <alignment horizontal="center"/>
    </xf>
    <xf numFmtId="0" fontId="36" fillId="21" borderId="21" xfId="0" applyFont="1" applyFill="1" applyBorder="1" applyAlignment="1">
      <alignment horizontal="center"/>
    </xf>
    <xf numFmtId="0" fontId="36" fillId="21" borderId="16" xfId="0" applyFont="1" applyFill="1" applyBorder="1" applyAlignment="1">
      <alignment horizontal="center"/>
    </xf>
    <xf numFmtId="0" fontId="0" fillId="0" borderId="33" xfId="0" applyBorder="1"/>
    <xf numFmtId="0" fontId="0" fillId="0" borderId="34" xfId="0" applyBorder="1"/>
    <xf numFmtId="0" fontId="35" fillId="0" borderId="31" xfId="0" applyFont="1" applyBorder="1" applyAlignment="1">
      <alignment horizontal="center"/>
    </xf>
    <xf numFmtId="0" fontId="35" fillId="0" borderId="32" xfId="0" applyFont="1" applyBorder="1" applyAlignment="1">
      <alignment horizontal="center"/>
    </xf>
    <xf numFmtId="0" fontId="35" fillId="0" borderId="45" xfId="0" applyFont="1" applyBorder="1" applyAlignment="1">
      <alignment horizontal="center"/>
    </xf>
    <xf numFmtId="10" fontId="0" fillId="0" borderId="34" xfId="0" applyNumberFormat="1" applyBorder="1"/>
    <xf numFmtId="9" fontId="0" fillId="0" borderId="33" xfId="0" applyNumberFormat="1" applyBorder="1"/>
    <xf numFmtId="9" fontId="0" fillId="0" borderId="34" xfId="0" applyNumberFormat="1" applyBorder="1"/>
    <xf numFmtId="10" fontId="4" fillId="0" borderId="0" xfId="1" applyNumberFormat="1" applyFont="1" applyAlignment="1">
      <alignment horizontal="center" wrapText="1"/>
    </xf>
    <xf numFmtId="0" fontId="37" fillId="0" borderId="0" xfId="0" applyFont="1" applyAlignment="1">
      <alignment horizontal="left" vertical="top" wrapText="1"/>
    </xf>
    <xf numFmtId="0" fontId="37" fillId="0" borderId="0" xfId="0" applyFont="1" applyAlignment="1">
      <alignment horizontal="left" vertical="top"/>
    </xf>
    <xf numFmtId="10" fontId="16" fillId="5" borderId="1" xfId="1" applyNumberFormat="1" applyFont="1" applyFill="1" applyBorder="1" applyAlignment="1">
      <alignment horizontal="center" wrapText="1"/>
    </xf>
    <xf numFmtId="10" fontId="16" fillId="7" borderId="3" xfId="1" applyNumberFormat="1" applyFont="1" applyFill="1" applyBorder="1" applyAlignment="1">
      <alignment horizontal="center" wrapText="1"/>
    </xf>
    <xf numFmtId="10" fontId="16" fillId="5" borderId="3" xfId="1" applyNumberFormat="1" applyFont="1" applyFill="1" applyBorder="1" applyAlignment="1">
      <alignment horizontal="center" wrapText="1"/>
    </xf>
    <xf numFmtId="0" fontId="5" fillId="0" borderId="1" xfId="0" applyFont="1" applyBorder="1" applyAlignment="1">
      <alignment horizontal="center" vertical="center"/>
    </xf>
    <xf numFmtId="0" fontId="25" fillId="0" borderId="1" xfId="0" applyFont="1" applyBorder="1" applyAlignment="1">
      <alignment horizontal="center" vertical="center" wrapText="1"/>
    </xf>
    <xf numFmtId="10" fontId="16" fillId="5" borderId="1" xfId="1" applyNumberFormat="1" applyFont="1" applyFill="1" applyBorder="1" applyAlignment="1">
      <alignment horizontal="center" vertical="center" wrapText="1"/>
    </xf>
    <xf numFmtId="10" fontId="16" fillId="7" borderId="1" xfId="1" applyNumberFormat="1" applyFont="1" applyFill="1" applyBorder="1" applyAlignment="1">
      <alignment horizontal="center" wrapText="1"/>
    </xf>
    <xf numFmtId="0" fontId="5" fillId="6" borderId="1" xfId="0" applyFont="1" applyFill="1" applyBorder="1" applyAlignment="1">
      <alignment horizontal="center" vertical="center"/>
    </xf>
    <xf numFmtId="0" fontId="5" fillId="7" borderId="1" xfId="0" applyFont="1" applyFill="1" applyBorder="1" applyAlignment="1">
      <alignment horizontal="center" vertical="center"/>
    </xf>
    <xf numFmtId="0" fontId="27" fillId="13" borderId="1" xfId="3" applyBorder="1" applyAlignment="1">
      <alignment horizontal="center" vertical="center"/>
    </xf>
    <xf numFmtId="0" fontId="28" fillId="14" borderId="1" xfId="4" applyBorder="1" applyAlignment="1">
      <alignment horizontal="center" vertical="center"/>
    </xf>
    <xf numFmtId="0" fontId="2" fillId="16" borderId="1" xfId="6" applyBorder="1" applyAlignment="1">
      <alignment horizontal="center" vertical="center"/>
    </xf>
    <xf numFmtId="0" fontId="2" fillId="15" borderId="1" xfId="5" applyBorder="1" applyAlignment="1">
      <alignment horizontal="center" vertical="center"/>
    </xf>
    <xf numFmtId="0" fontId="5" fillId="12" borderId="1" xfId="0" applyFont="1" applyFill="1" applyBorder="1" applyAlignment="1">
      <alignment horizontal="center" vertical="center"/>
    </xf>
    <xf numFmtId="0" fontId="20" fillId="0" borderId="20"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0" fillId="0" borderId="0" xfId="0" applyAlignment="1">
      <alignment horizontal="center" wrapText="1"/>
    </xf>
    <xf numFmtId="0" fontId="5" fillId="7" borderId="26" xfId="0" applyFont="1" applyFill="1" applyBorder="1" applyAlignment="1">
      <alignment horizontal="center" vertical="center"/>
    </xf>
    <xf numFmtId="0" fontId="5" fillId="12" borderId="25" xfId="0" applyFont="1" applyFill="1" applyBorder="1" applyAlignment="1">
      <alignment horizontal="center" vertical="center"/>
    </xf>
    <xf numFmtId="0" fontId="16" fillId="0" borderId="0" xfId="0" applyFont="1" applyFill="1"/>
    <xf numFmtId="0" fontId="0" fillId="0" borderId="0" xfId="0" applyFill="1"/>
    <xf numFmtId="0" fontId="4" fillId="0" borderId="0" xfId="0" applyFont="1" applyFill="1"/>
  </cellXfs>
  <cellStyles count="9">
    <cellStyle name="60% - Accent1" xfId="5" builtinId="32"/>
    <cellStyle name="60% - Accent2" xfId="6" builtinId="36"/>
    <cellStyle name="60% - Accent4" xfId="7" builtinId="44"/>
    <cellStyle name="60% - Accent6" xfId="8" builtinId="52"/>
    <cellStyle name="Comma" xfId="2" builtinId="3"/>
    <cellStyle name="Good" xfId="3" builtinId="26"/>
    <cellStyle name="Neutral" xfId="4" builtinId="28"/>
    <cellStyle name="Normal" xfId="0" builtinId="0"/>
    <cellStyle name="Per cent" xfId="1" builtinId="5"/>
  </cellStyles>
  <dxfs count="0"/>
  <tableStyles count="0" defaultTableStyle="TableStyleMedium2" defaultPivotStyle="PivotStyleLight16"/>
  <colors>
    <mruColors>
      <color rgb="FFFF5E00"/>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06/relationships/rdRichValue" Target="richData/rdrichvalue.xml"/><Relationship Id="rId18" Type="http://schemas.microsoft.com/office/2017/06/relationships/rdSupportingPropertyBag" Target="richData/rdsupporting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microsoft.com/office/2017/06/relationships/richStyles" Target="richData/rich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Array" Target="richData/rdarray.xml"/><Relationship Id="rId10" Type="http://schemas.openxmlformats.org/officeDocument/2006/relationships/styles" Target="styles.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dirty="0"/>
              <a:t>Risk</a:t>
            </a:r>
            <a:r>
              <a:rPr lang="en-US" baseline="0" dirty="0"/>
              <a:t> </a:t>
            </a:r>
            <a:r>
              <a:rPr lang="en-US" baseline="0" dirty="0" err="1"/>
              <a:t>catagory</a:t>
            </a:r>
            <a:endParaRPr lang="en-US" dirty="0"/>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'1.b Sample  (Return and Risk)'!$T$31</c:f>
              <c:strCache>
                <c:ptCount val="1"/>
                <c:pt idx="0">
                  <c:v>(ASX:PME)</c:v>
                </c:pt>
              </c:strCache>
            </c:strRef>
          </c:tx>
          <c:spPr>
            <a:solidFill>
              <a:schemeClr val="accent1"/>
            </a:solidFill>
            <a:ln w="19050">
              <a:solidFill>
                <a:schemeClr val="tx1">
                  <a:alpha val="16155"/>
                </a:schemeClr>
              </a:solidFill>
            </a:ln>
            <a:effectLst/>
          </c:spPr>
          <c:invertIfNegative val="0"/>
          <c:dPt>
            <c:idx val="0"/>
            <c:invertIfNegative val="0"/>
            <c:bubble3D val="0"/>
            <c:spPr>
              <a:solidFill>
                <a:srgbClr val="FF0000"/>
              </a:solidFill>
              <a:ln w="19050">
                <a:solidFill>
                  <a:schemeClr val="tx1">
                    <a:alpha val="16155"/>
                  </a:schemeClr>
                </a:solidFill>
              </a:ln>
              <a:effectLst/>
            </c:spPr>
            <c:extLst>
              <c:ext xmlns:c16="http://schemas.microsoft.com/office/drawing/2014/chart" uri="{C3380CC4-5D6E-409C-BE32-E72D297353CC}">
                <c16:uniqueId val="{00000001-907B-6C44-85EA-050E2A325A2A}"/>
              </c:ext>
            </c:extLst>
          </c:dPt>
          <c:dLbls>
            <c:dLbl>
              <c:idx val="0"/>
              <c:layout>
                <c:manualLayout>
                  <c:x val="4.1440652452351808E-3"/>
                  <c:y val="0.14342737172627532"/>
                </c:manualLayout>
              </c:layout>
              <c:tx>
                <c:rich>
                  <a:bodyPr rot="0" spcFirstLastPara="1" vertOverflow="ellipsis" vert="horz" wrap="square" lIns="38100" tIns="19050" rIns="38100" bIns="19050" anchor="ctr" anchorCtr="1">
                    <a:noAutofit/>
                  </a:bodyPr>
                  <a:lstStyle/>
                  <a:p>
                    <a:pPr>
                      <a:defRPr sz="900" b="0" i="0" u="none" strike="noStrike" baseline="0">
                        <a:solidFill>
                          <a:schemeClr val="tx1">
                            <a:lumMod val="65000"/>
                            <a:lumOff val="35000"/>
                          </a:schemeClr>
                        </a:solidFill>
                        <a:latin typeface="+mn-lt"/>
                        <a:ea typeface="+mn-ea"/>
                        <a:cs typeface="+mn-cs"/>
                      </a:defRPr>
                    </a:pPr>
                    <a:r>
                      <a:rPr lang="en-US" b="1"/>
                      <a:t>S11</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1814126258196538E-2"/>
                      <c:h val="7.987277231205589E-2"/>
                    </c:manualLayout>
                  </c15:layout>
                  <c15:showDataLabelsRange val="0"/>
                </c:ext>
                <c:ext xmlns:c16="http://schemas.microsoft.com/office/drawing/2014/chart" uri="{C3380CC4-5D6E-409C-BE32-E72D297353CC}">
                  <c16:uniqueId val="{00000001-907B-6C44-85EA-050E2A325A2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ash"/>
              </a:ln>
              <a:effectLst/>
            </c:spPr>
            <c:trendlineType val="linear"/>
            <c:dispRSqr val="0"/>
            <c:dispEq val="0"/>
          </c:trendline>
          <c:cat>
            <c:strRef>
              <c:f>'1.b Sample  (Return and Risk)'!$U$30</c:f>
              <c:strCache>
                <c:ptCount val="1"/>
                <c:pt idx="0">
                  <c:v>Stock</c:v>
                </c:pt>
              </c:strCache>
            </c:strRef>
          </c:cat>
          <c:val>
            <c:numRef>
              <c:f>'1.b Sample  (Return and Risk)'!$U$31</c:f>
              <c:numCache>
                <c:formatCode>0.00%</c:formatCode>
                <c:ptCount val="1"/>
                <c:pt idx="0">
                  <c:v>0.10936385592244387</c:v>
                </c:pt>
              </c:numCache>
            </c:numRef>
          </c:val>
          <c:extLst>
            <c:ext xmlns:c16="http://schemas.microsoft.com/office/drawing/2014/chart" uri="{C3380CC4-5D6E-409C-BE32-E72D297353CC}">
              <c16:uniqueId val="{00000003-907B-6C44-85EA-050E2A325A2A}"/>
            </c:ext>
          </c:extLst>
        </c:ser>
        <c:ser>
          <c:idx val="1"/>
          <c:order val="1"/>
          <c:tx>
            <c:strRef>
              <c:f>'1.b Sample  (Return and Risk)'!$T$32</c:f>
              <c:strCache>
                <c:ptCount val="1"/>
                <c:pt idx="0">
                  <c:v>(ASX:PGC)</c:v>
                </c:pt>
              </c:strCache>
            </c:strRef>
          </c:tx>
          <c:spPr>
            <a:solidFill>
              <a:srgbClr val="FF0000"/>
            </a:solidFill>
            <a:ln w="19050">
              <a:solidFill>
                <a:schemeClr val="tx1">
                  <a:lumMod val="85000"/>
                  <a:lumOff val="15000"/>
                  <a:alpha val="25000"/>
                </a:schemeClr>
              </a:solidFill>
            </a:ln>
            <a:effectLst/>
          </c:spPr>
          <c:invertIfNegative val="0"/>
          <c:dLbls>
            <c:dLbl>
              <c:idx val="0"/>
              <c:layout>
                <c:manualLayout>
                  <c:x val="-2.7626376533155133E-3"/>
                  <c:y val="0.16458878722687334"/>
                </c:manualLayout>
              </c:layout>
              <c:tx>
                <c:rich>
                  <a:bodyPr/>
                  <a:lstStyle/>
                  <a:p>
                    <a:r>
                      <a:rPr lang="en-US"/>
                      <a:t>S12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07B-6C44-85EA-050E2A325A2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'1.b Sample  (Return and Risk)'!$U$30</c:f>
              <c:strCache>
                <c:ptCount val="1"/>
                <c:pt idx="0">
                  <c:v>Stock</c:v>
                </c:pt>
              </c:strCache>
            </c:strRef>
          </c:cat>
          <c:val>
            <c:numRef>
              <c:f>'1.b Sample  (Return and Risk)'!$U$32</c:f>
              <c:numCache>
                <c:formatCode>0.00%</c:formatCode>
                <c:ptCount val="1"/>
                <c:pt idx="0">
                  <c:v>0.13553167397727031</c:v>
                </c:pt>
              </c:numCache>
            </c:numRef>
          </c:val>
          <c:extLst>
            <c:ext xmlns:c16="http://schemas.microsoft.com/office/drawing/2014/chart" uri="{C3380CC4-5D6E-409C-BE32-E72D297353CC}">
              <c16:uniqueId val="{00000005-907B-6C44-85EA-050E2A325A2A}"/>
            </c:ext>
          </c:extLst>
        </c:ser>
        <c:ser>
          <c:idx val="2"/>
          <c:order val="2"/>
          <c:tx>
            <c:strRef>
              <c:f>'1.b Sample  (Return and Risk)'!$T$33</c:f>
              <c:strCache>
                <c:ptCount val="1"/>
                <c:pt idx="0">
                  <c:v>(ASX:XRO)</c:v>
                </c:pt>
              </c:strCache>
            </c:strRef>
          </c:tx>
          <c:spPr>
            <a:solidFill>
              <a:srgbClr val="FFC000"/>
            </a:solidFill>
            <a:ln w="12700">
              <a:solidFill>
                <a:schemeClr val="tx1">
                  <a:lumMod val="85000"/>
                  <a:lumOff val="15000"/>
                </a:schemeClr>
              </a:solidFill>
            </a:ln>
            <a:effectLst/>
          </c:spPr>
          <c:invertIfNegative val="0"/>
          <c:dLbls>
            <c:dLbl>
              <c:idx val="0"/>
              <c:layout>
                <c:manualLayout>
                  <c:x val="-5.5252753066310266E-3"/>
                  <c:y val="0.12696849300358792"/>
                </c:manualLayout>
              </c:layout>
              <c:tx>
                <c:rich>
                  <a:bodyPr/>
                  <a:lstStyle/>
                  <a:p>
                    <a:r>
                      <a:rPr lang="en-US"/>
                      <a:t>S21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07B-6C44-85EA-050E2A325A2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'1.b Sample  (Return and Risk)'!$U$30</c:f>
              <c:strCache>
                <c:ptCount val="1"/>
                <c:pt idx="0">
                  <c:v>Stock</c:v>
                </c:pt>
              </c:strCache>
            </c:strRef>
          </c:cat>
          <c:val>
            <c:numRef>
              <c:f>'1.b Sample  (Return and Risk)'!$U$33</c:f>
              <c:numCache>
                <c:formatCode>0.00%</c:formatCode>
                <c:ptCount val="1"/>
                <c:pt idx="0">
                  <c:v>9.4151228850625754E-2</c:v>
                </c:pt>
              </c:numCache>
            </c:numRef>
          </c:val>
          <c:extLst>
            <c:ext xmlns:c16="http://schemas.microsoft.com/office/drawing/2014/chart" uri="{C3380CC4-5D6E-409C-BE32-E72D297353CC}">
              <c16:uniqueId val="{00000007-907B-6C44-85EA-050E2A325A2A}"/>
            </c:ext>
          </c:extLst>
        </c:ser>
        <c:ser>
          <c:idx val="3"/>
          <c:order val="3"/>
          <c:tx>
            <c:strRef>
              <c:f>'1.b Sample  (Return and Risk)'!$T$34</c:f>
              <c:strCache>
                <c:ptCount val="1"/>
                <c:pt idx="0">
                  <c:v>(ASX:COS)</c:v>
                </c:pt>
              </c:strCache>
            </c:strRef>
          </c:tx>
          <c:spPr>
            <a:solidFill>
              <a:schemeClr val="accent4"/>
            </a:solidFill>
            <a:ln w="12700">
              <a:solidFill>
                <a:srgbClr val="FFC000"/>
              </a:solidFill>
            </a:ln>
            <a:effectLst/>
          </c:spPr>
          <c:invertIfNegative val="0"/>
          <c:dPt>
            <c:idx val="0"/>
            <c:invertIfNegative val="0"/>
            <c:bubble3D val="0"/>
            <c:spPr>
              <a:solidFill>
                <a:srgbClr val="FFC000"/>
              </a:solidFill>
              <a:ln w="12700">
                <a:solidFill>
                  <a:srgbClr val="FFC000"/>
                </a:solidFill>
              </a:ln>
              <a:effectLst/>
            </c:spPr>
            <c:extLst>
              <c:ext xmlns:c16="http://schemas.microsoft.com/office/drawing/2014/chart" uri="{C3380CC4-5D6E-409C-BE32-E72D297353CC}">
                <c16:uniqueId val="{00000009-907B-6C44-85EA-050E2A325A2A}"/>
              </c:ext>
            </c:extLst>
          </c:dPt>
          <c:dLbls>
            <c:dLbl>
              <c:idx val="0"/>
              <c:layout>
                <c:manualLayout>
                  <c:x val="2.7626376533155133E-3"/>
                  <c:y val="0.10345580911403467"/>
                </c:manualLayout>
              </c:layout>
              <c:tx>
                <c:rich>
                  <a:bodyPr/>
                  <a:lstStyle/>
                  <a:p>
                    <a:r>
                      <a:rPr lang="en-US"/>
                      <a:t>S22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07B-6C44-85EA-050E2A325A2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'1.b Sample  (Return and Risk)'!$U$30</c:f>
              <c:strCache>
                <c:ptCount val="1"/>
                <c:pt idx="0">
                  <c:v>Stock</c:v>
                </c:pt>
              </c:strCache>
            </c:strRef>
          </c:cat>
          <c:val>
            <c:numRef>
              <c:f>'1.b Sample  (Return and Risk)'!$U$34</c:f>
              <c:numCache>
                <c:formatCode>0.00%</c:formatCode>
                <c:ptCount val="1"/>
                <c:pt idx="0">
                  <c:v>8.0188898431855518E-2</c:v>
                </c:pt>
              </c:numCache>
            </c:numRef>
          </c:val>
          <c:extLst>
            <c:ext xmlns:c16="http://schemas.microsoft.com/office/drawing/2014/chart" uri="{C3380CC4-5D6E-409C-BE32-E72D297353CC}">
              <c16:uniqueId val="{0000000A-907B-6C44-85EA-050E2A325A2A}"/>
            </c:ext>
          </c:extLst>
        </c:ser>
        <c:ser>
          <c:idx val="4"/>
          <c:order val="4"/>
          <c:tx>
            <c:strRef>
              <c:f>'1.b Sample  (Return and Risk)'!$T$35</c:f>
              <c:strCache>
                <c:ptCount val="1"/>
                <c:pt idx="0">
                  <c:v>(ASX:TLS)</c:v>
                </c:pt>
              </c:strCache>
            </c:strRef>
          </c:tx>
          <c:spPr>
            <a:solidFill>
              <a:srgbClr val="00B050"/>
            </a:solidFill>
            <a:ln>
              <a:noFill/>
            </a:ln>
            <a:effectLst/>
          </c:spPr>
          <c:invertIfNegative val="0"/>
          <c:dLbls>
            <c:dLbl>
              <c:idx val="0"/>
              <c:layout>
                <c:manualLayout>
                  <c:x val="-2.7626376533155133E-3"/>
                  <c:y val="0.10815834589194533"/>
                </c:manualLayout>
              </c:layout>
              <c:tx>
                <c:rich>
                  <a:bodyPr/>
                  <a:lstStyle/>
                  <a:p>
                    <a:r>
                      <a:rPr lang="en-US"/>
                      <a:t>S31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07B-6C44-85EA-050E2A325A2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'1.b Sample  (Return and Risk)'!$U$30</c:f>
              <c:strCache>
                <c:ptCount val="1"/>
                <c:pt idx="0">
                  <c:v>Stock</c:v>
                </c:pt>
              </c:strCache>
            </c:strRef>
          </c:cat>
          <c:val>
            <c:numRef>
              <c:f>'1.b Sample  (Return and Risk)'!$U$35</c:f>
              <c:numCache>
                <c:formatCode>0.00%</c:formatCode>
                <c:ptCount val="1"/>
                <c:pt idx="0">
                  <c:v>3.5698466399920525E-2</c:v>
                </c:pt>
              </c:numCache>
            </c:numRef>
          </c:val>
          <c:extLst>
            <c:ext xmlns:c16="http://schemas.microsoft.com/office/drawing/2014/chart" uri="{C3380CC4-5D6E-409C-BE32-E72D297353CC}">
              <c16:uniqueId val="{0000000C-907B-6C44-85EA-050E2A325A2A}"/>
            </c:ext>
          </c:extLst>
        </c:ser>
        <c:ser>
          <c:idx val="5"/>
          <c:order val="5"/>
          <c:tx>
            <c:strRef>
              <c:f>'1.b Sample  (Return and Risk)'!$T$36</c:f>
              <c:strCache>
                <c:ptCount val="1"/>
                <c:pt idx="0">
                  <c:v>(ASX:TPG)</c:v>
                </c:pt>
              </c:strCache>
            </c:strRef>
          </c:tx>
          <c:spPr>
            <a:solidFill>
              <a:srgbClr val="FFC000"/>
            </a:solidFill>
            <a:ln>
              <a:noFill/>
            </a:ln>
            <a:effectLst/>
          </c:spPr>
          <c:invertIfNegative val="0"/>
          <c:dLbls>
            <c:dLbl>
              <c:idx val="0"/>
              <c:layout>
                <c:manualLayout>
                  <c:x val="-2.7626376533155133E-3"/>
                  <c:y val="0.11756341944776666"/>
                </c:manualLayout>
              </c:layout>
              <c:tx>
                <c:rich>
                  <a:bodyPr/>
                  <a:lstStyle/>
                  <a:p>
                    <a:r>
                      <a:rPr lang="en-US"/>
                      <a:t>S32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07B-6C44-85EA-050E2A325A2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'1.b Sample  (Return and Risk)'!$U$30</c:f>
              <c:strCache>
                <c:ptCount val="1"/>
                <c:pt idx="0">
                  <c:v>Stock</c:v>
                </c:pt>
              </c:strCache>
            </c:strRef>
          </c:cat>
          <c:val>
            <c:numRef>
              <c:f>'1.b Sample  (Return and Risk)'!$U$36</c:f>
              <c:numCache>
                <c:formatCode>0.00%</c:formatCode>
                <c:ptCount val="1"/>
                <c:pt idx="0">
                  <c:v>7.254003966278906E-2</c:v>
                </c:pt>
              </c:numCache>
            </c:numRef>
          </c:val>
          <c:extLst>
            <c:ext xmlns:c16="http://schemas.microsoft.com/office/drawing/2014/chart" uri="{C3380CC4-5D6E-409C-BE32-E72D297353CC}">
              <c16:uniqueId val="{0000000E-907B-6C44-85EA-050E2A325A2A}"/>
            </c:ext>
          </c:extLst>
        </c:ser>
        <c:ser>
          <c:idx val="6"/>
          <c:order val="6"/>
          <c:tx>
            <c:strRef>
              <c:f>'1.b Sample  (Return and Risk)'!$T$37</c:f>
              <c:strCache>
                <c:ptCount val="1"/>
                <c:pt idx="0">
                  <c:v>(ASX:CBA)</c:v>
                </c:pt>
              </c:strCache>
            </c:strRef>
          </c:tx>
          <c:spPr>
            <a:solidFill>
              <a:srgbClr val="00B050"/>
            </a:solidFill>
            <a:ln>
              <a:noFill/>
            </a:ln>
            <a:effectLst/>
          </c:spPr>
          <c:invertIfNegative val="0"/>
          <c:dLbls>
            <c:dLbl>
              <c:idx val="0"/>
              <c:layout>
                <c:manualLayout>
                  <c:x val="0"/>
                  <c:y val="0.10815834589194542"/>
                </c:manualLayout>
              </c:layout>
              <c:tx>
                <c:rich>
                  <a:bodyPr/>
                  <a:lstStyle/>
                  <a:p>
                    <a:r>
                      <a:rPr lang="en-US"/>
                      <a:t>S41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07B-6C44-85EA-050E2A325A2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'1.b Sample  (Return and Risk)'!$U$30</c:f>
              <c:strCache>
                <c:ptCount val="1"/>
                <c:pt idx="0">
                  <c:v>Stock</c:v>
                </c:pt>
              </c:strCache>
            </c:strRef>
          </c:cat>
          <c:val>
            <c:numRef>
              <c:f>'1.b Sample  (Return and Risk)'!$U$37</c:f>
              <c:numCache>
                <c:formatCode>0.00%</c:formatCode>
                <c:ptCount val="1"/>
                <c:pt idx="0">
                  <c:v>6.2967475865032346E-2</c:v>
                </c:pt>
              </c:numCache>
            </c:numRef>
          </c:val>
          <c:extLst>
            <c:ext xmlns:c16="http://schemas.microsoft.com/office/drawing/2014/chart" uri="{C3380CC4-5D6E-409C-BE32-E72D297353CC}">
              <c16:uniqueId val="{00000010-907B-6C44-85EA-050E2A325A2A}"/>
            </c:ext>
          </c:extLst>
        </c:ser>
        <c:ser>
          <c:idx val="7"/>
          <c:order val="7"/>
          <c:tx>
            <c:strRef>
              <c:f>'1.b Sample  (Return and Risk)'!$T$38</c:f>
              <c:strCache>
                <c:ptCount val="1"/>
                <c:pt idx="0">
                  <c:v> (ASX:SUN)</c:v>
                </c:pt>
              </c:strCache>
            </c:strRef>
          </c:tx>
          <c:spPr>
            <a:solidFill>
              <a:schemeClr val="accent2">
                <a:lumMod val="60000"/>
              </a:schemeClr>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12-907B-6C44-85EA-050E2A325A2A}"/>
              </c:ext>
            </c:extLst>
          </c:dPt>
          <c:dLbls>
            <c:dLbl>
              <c:idx val="0"/>
              <c:layout>
                <c:manualLayout>
                  <c:x val="-1.0129554378013652E-16"/>
                  <c:y val="9.4050735558213416E-2"/>
                </c:manualLayout>
              </c:layout>
              <c:tx>
                <c:rich>
                  <a:bodyPr/>
                  <a:lstStyle/>
                  <a:p>
                    <a:r>
                      <a:rPr lang="en-US"/>
                      <a:t>S42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07B-6C44-85EA-050E2A325A2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'1.b Sample  (Return and Risk)'!$U$30</c:f>
              <c:strCache>
                <c:ptCount val="1"/>
                <c:pt idx="0">
                  <c:v>Stock</c:v>
                </c:pt>
              </c:strCache>
            </c:strRef>
          </c:cat>
          <c:val>
            <c:numRef>
              <c:f>'1.b Sample  (Return and Risk)'!$U$38</c:f>
              <c:numCache>
                <c:formatCode>0.00%</c:formatCode>
                <c:ptCount val="1"/>
                <c:pt idx="0">
                  <c:v>4.8592930823745273E-2</c:v>
                </c:pt>
              </c:numCache>
            </c:numRef>
          </c:val>
          <c:extLst>
            <c:ext xmlns:c16="http://schemas.microsoft.com/office/drawing/2014/chart" uri="{C3380CC4-5D6E-409C-BE32-E72D297353CC}">
              <c16:uniqueId val="{00000013-907B-6C44-85EA-050E2A325A2A}"/>
            </c:ext>
          </c:extLst>
        </c:ser>
        <c:dLbls>
          <c:showLegendKey val="0"/>
          <c:showVal val="0"/>
          <c:showCatName val="0"/>
          <c:showSerName val="0"/>
          <c:showPercent val="0"/>
          <c:showBubbleSize val="0"/>
        </c:dLbls>
        <c:gapWidth val="0"/>
        <c:axId val="775617727"/>
        <c:axId val="1472356368"/>
      </c:barChart>
      <c:catAx>
        <c:axId val="775617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472356368"/>
        <c:crosses val="autoZero"/>
        <c:auto val="1"/>
        <c:lblAlgn val="ctr"/>
        <c:lblOffset val="100"/>
        <c:noMultiLvlLbl val="0"/>
      </c:catAx>
      <c:valAx>
        <c:axId val="14723563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77561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723900</xdr:colOff>
      <xdr:row>60</xdr:row>
      <xdr:rowOff>45720</xdr:rowOff>
    </xdr:from>
    <xdr:ext cx="7566660" cy="655949"/>
    <xdr:sp macro="" textlink="">
      <xdr:nvSpPr>
        <xdr:cNvPr id="2" name="TextBox 1">
          <a:extLst>
            <a:ext uri="{FF2B5EF4-FFF2-40B4-BE49-F238E27FC236}">
              <a16:creationId xmlns:a16="http://schemas.microsoft.com/office/drawing/2014/main" id="{7DE5941C-CF96-0D3D-1351-B1CE2190AD7E}"/>
            </a:ext>
          </a:extLst>
        </xdr:cNvPr>
        <xdr:cNvSpPr txBox="1"/>
      </xdr:nvSpPr>
      <xdr:spPr>
        <a:xfrm>
          <a:off x="5951220" y="13060680"/>
          <a:ext cx="7566660" cy="655949"/>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1200"/>
            <a:t>Please explain how you categorize the risk categories and allocate the chosen assets into those risk categories. Ensure that all your workings are clearly shown in this sheet. provide  the relevant risk category code in row 59 of Column C to J .</a:t>
          </a:r>
          <a:r>
            <a:rPr lang="en-AU" sz="1200" baseline="0"/>
            <a:t> Also, complete the Column T,U, and V</a:t>
          </a:r>
          <a:endParaRPr lang="en-AU" sz="1200"/>
        </a:p>
      </xdr:txBody>
    </xdr:sp>
    <xdr:clientData/>
  </xdr:oneCellAnchor>
  <xdr:twoCellAnchor>
    <xdr:from>
      <xdr:col>23</xdr:col>
      <xdr:colOff>143120</xdr:colOff>
      <xdr:row>4</xdr:row>
      <xdr:rowOff>136537</xdr:rowOff>
    </xdr:from>
    <xdr:to>
      <xdr:col>24</xdr:col>
      <xdr:colOff>1051698</xdr:colOff>
      <xdr:row>13</xdr:row>
      <xdr:rowOff>100639</xdr:rowOff>
    </xdr:to>
    <xdr:sp macro="" textlink="">
      <xdr:nvSpPr>
        <xdr:cNvPr id="3" name="Rectangle 2">
          <a:extLst>
            <a:ext uri="{FF2B5EF4-FFF2-40B4-BE49-F238E27FC236}">
              <a16:creationId xmlns:a16="http://schemas.microsoft.com/office/drawing/2014/main" id="{683CFE5A-F2E5-EF5A-35E6-CB51B071A5A3}"/>
            </a:ext>
          </a:extLst>
        </xdr:cNvPr>
        <xdr:cNvSpPr/>
      </xdr:nvSpPr>
      <xdr:spPr>
        <a:xfrm>
          <a:off x="25172109" y="1006986"/>
          <a:ext cx="2349814" cy="270387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The Risk table is calculated based on the standard</a:t>
          </a:r>
          <a:r>
            <a:rPr lang="en-GB" sz="1100" baseline="0"/>
            <a:t> deviation value. the higher the standard deviation is the high the risk . the lower the stanadrd deviation is the lower risk.</a:t>
          </a:r>
          <a:endParaRPr lang="en-GB" sz="1100"/>
        </a:p>
      </xdr:txBody>
    </xdr:sp>
    <xdr:clientData/>
  </xdr:twoCellAnchor>
  <xdr:twoCellAnchor>
    <xdr:from>
      <xdr:col>16</xdr:col>
      <xdr:colOff>260824</xdr:colOff>
      <xdr:row>26</xdr:row>
      <xdr:rowOff>89279</xdr:rowOff>
    </xdr:from>
    <xdr:to>
      <xdr:col>18</xdr:col>
      <xdr:colOff>748957</xdr:colOff>
      <xdr:row>40</xdr:row>
      <xdr:rowOff>21349</xdr:rowOff>
    </xdr:to>
    <xdr:graphicFrame macro="">
      <xdr:nvGraphicFramePr>
        <xdr:cNvPr id="6" name="Chart 5">
          <a:extLst>
            <a:ext uri="{FF2B5EF4-FFF2-40B4-BE49-F238E27FC236}">
              <a16:creationId xmlns:a16="http://schemas.microsoft.com/office/drawing/2014/main" id="{CE6AE298-A0F7-F911-BBBC-D543A4B22A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73388</xdr:colOff>
      <xdr:row>1</xdr:row>
      <xdr:rowOff>42808</xdr:rowOff>
    </xdr:from>
    <xdr:to>
      <xdr:col>16</xdr:col>
      <xdr:colOff>465091</xdr:colOff>
      <xdr:row>17</xdr:row>
      <xdr:rowOff>52795</xdr:rowOff>
    </xdr:to>
    <xdr:sp macro="" textlink="">
      <xdr:nvSpPr>
        <xdr:cNvPr id="2" name="TextBox 1">
          <a:extLst>
            <a:ext uri="{FF2B5EF4-FFF2-40B4-BE49-F238E27FC236}">
              <a16:creationId xmlns:a16="http://schemas.microsoft.com/office/drawing/2014/main" id="{3BC6B177-1181-9640-8DE4-A0555C0D757E}"/>
            </a:ext>
          </a:extLst>
        </xdr:cNvPr>
        <xdr:cNvSpPr txBox="1"/>
      </xdr:nvSpPr>
      <xdr:spPr>
        <a:xfrm>
          <a:off x="11874399" y="313932"/>
          <a:ext cx="5100692" cy="3092234"/>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1"/>
            <a:t>LP Portfolio</a:t>
          </a:r>
          <a:r>
            <a:rPr lang="en-AU" sz="1100" b="1" baseline="0"/>
            <a:t> </a:t>
          </a:r>
          <a:endParaRPr lang="en-AU" sz="1100" b="1"/>
        </a:p>
        <a:p>
          <a:r>
            <a:rPr lang="en-AU" sz="1100">
              <a:solidFill>
                <a:schemeClr val="dk1"/>
              </a:solidFill>
              <a:effectLst/>
              <a:latin typeface="+mn-lt"/>
              <a:ea typeface="+mn-ea"/>
              <a:cs typeface="+mn-cs"/>
            </a:rPr>
            <a:t>The objective is to </a:t>
          </a:r>
          <a:endParaRPr lang="en-AU" sz="1100" b="0" i="0" u="none" strike="noStrike" baseline="0">
            <a:solidFill>
              <a:schemeClr val="dk1"/>
            </a:solidFill>
            <a:latin typeface="+mn-lt"/>
            <a:ea typeface="+mn-ea"/>
            <a:cs typeface="+mn-cs"/>
          </a:endParaRPr>
        </a:p>
        <a:p>
          <a:r>
            <a:rPr lang="en-AU" sz="1100" b="0" i="0" u="none" strike="noStrike" baseline="0">
              <a:solidFill>
                <a:schemeClr val="dk1"/>
              </a:solidFill>
              <a:effectLst/>
              <a:latin typeface="+mn-lt"/>
              <a:ea typeface="+mn-ea"/>
              <a:cs typeface="+mn-cs"/>
            </a:rPr>
            <a:t>Max </a:t>
          </a:r>
          <a:r>
            <a:rPr lang="en-AU" sz="1100" b="0" i="0" u="none" strike="noStrike" baseline="0">
              <a:solidFill>
                <a:srgbClr val="FF0000"/>
              </a:solidFill>
              <a:effectLst/>
              <a:latin typeface="+mn-lt"/>
              <a:ea typeface="+mn-ea"/>
              <a:cs typeface="+mn-cs"/>
            </a:rPr>
            <a:t>Z = i1s11 +i2s12 +i3s21 +i4s22 +i5s31 + i6s32 + i7s41+  i8s42</a:t>
          </a:r>
          <a:endParaRPr lang="en-AU" sz="1100">
            <a:solidFill>
              <a:srgbClr val="FF0000"/>
            </a:solidFill>
            <a:effectLst/>
          </a:endParaRPr>
        </a:p>
        <a:p>
          <a:r>
            <a:rPr lang="en-IN" sz="1100" b="0" i="0" u="none" strike="noStrike">
              <a:solidFill>
                <a:schemeClr val="dk1"/>
              </a:solidFill>
              <a:effectLst/>
              <a:latin typeface="+mn-lt"/>
              <a:ea typeface="+mn-ea"/>
              <a:cs typeface="+mn-cs"/>
            </a:rPr>
            <a:t>i</a:t>
          </a:r>
          <a:r>
            <a:rPr lang="en-IN" sz="1100" b="0" i="0" u="none" strike="noStrike" baseline="0">
              <a:solidFill>
                <a:schemeClr val="dk1"/>
              </a:solidFill>
              <a:effectLst/>
              <a:latin typeface="+mn-lt"/>
              <a:ea typeface="+mn-ea"/>
              <a:cs typeface="+mn-cs"/>
            </a:rPr>
            <a:t> re</a:t>
          </a:r>
          <a:r>
            <a:rPr lang="en-IN" sz="1100" b="0" i="0" u="none" strike="noStrike">
              <a:solidFill>
                <a:schemeClr val="dk1"/>
              </a:solidFill>
              <a:effectLst/>
              <a:latin typeface="+mn-lt"/>
              <a:ea typeface="+mn-ea"/>
              <a:cs typeface="+mn-cs"/>
            </a:rPr>
            <a:t>present the average returns for each investment (calculated from monthly returns)</a:t>
          </a:r>
        </a:p>
        <a:p>
          <a:r>
            <a:rPr lang="en-IN" sz="1100" b="0" i="0" u="none" strike="noStrike">
              <a:solidFill>
                <a:schemeClr val="dk1"/>
              </a:solidFill>
              <a:effectLst/>
              <a:latin typeface="+mn-lt"/>
              <a:ea typeface="+mn-ea"/>
              <a:cs typeface="+mn-cs"/>
            </a:rPr>
            <a:t>whereas s</a:t>
          </a:r>
          <a:r>
            <a:rPr lang="en-IN" sz="1100" b="0" i="0" u="none" strike="noStrike" baseline="0">
              <a:solidFill>
                <a:schemeClr val="dk1"/>
              </a:solidFill>
              <a:effectLst/>
              <a:latin typeface="+mn-lt"/>
              <a:ea typeface="+mn-ea"/>
              <a:cs typeface="+mn-cs"/>
            </a:rPr>
            <a:t> </a:t>
          </a:r>
          <a:r>
            <a:rPr lang="en-IN" sz="1100" b="0" i="0" u="none" strike="noStrike">
              <a:solidFill>
                <a:schemeClr val="dk1"/>
              </a:solidFill>
              <a:effectLst/>
              <a:latin typeface="+mn-lt"/>
              <a:ea typeface="+mn-ea"/>
              <a:cs typeface="+mn-cs"/>
            </a:rPr>
            <a:t>is the decision</a:t>
          </a:r>
          <a:r>
            <a:rPr lang="en-IN" sz="1100" b="0" i="0" u="none" strike="noStrike" baseline="0">
              <a:solidFill>
                <a:schemeClr val="dk1"/>
              </a:solidFill>
              <a:effectLst/>
              <a:latin typeface="+mn-lt"/>
              <a:ea typeface="+mn-ea"/>
              <a:cs typeface="+mn-cs"/>
            </a:rPr>
            <a:t> variable.</a:t>
          </a:r>
          <a:endParaRPr lang="en-AU" sz="1100"/>
        </a:p>
        <a:p>
          <a:r>
            <a:rPr lang="en-AU" sz="1100"/>
            <a:t>Subject</a:t>
          </a:r>
          <a:r>
            <a:rPr lang="en-AU" sz="1100" baseline="0"/>
            <a:t> to:</a:t>
          </a:r>
          <a:endParaRPr lang="en-AU" sz="1000"/>
        </a:p>
        <a:p>
          <a:r>
            <a:rPr lang="en-AU" sz="1000">
              <a:solidFill>
                <a:srgbClr val="FF0000"/>
              </a:solidFill>
            </a:rPr>
            <a:t>s11 +s12+s21+s22+s31+s32+s41+s42 = 1</a:t>
          </a:r>
        </a:p>
        <a:p>
          <a:r>
            <a:rPr lang="en-AU" sz="1000">
              <a:solidFill>
                <a:srgbClr val="FF0000"/>
              </a:solidFill>
            </a:rPr>
            <a:t>s11+s12 &lt;= 15%</a:t>
          </a:r>
        </a:p>
        <a:p>
          <a:r>
            <a:rPr lang="en-AU" sz="1000" baseline="0">
              <a:solidFill>
                <a:srgbClr val="FF0000"/>
              </a:solidFill>
            </a:rPr>
            <a:t>s31+s41+s42 &gt;= </a:t>
          </a:r>
          <a:r>
            <a:rPr lang="en-AU" sz="1000">
              <a:solidFill>
                <a:srgbClr val="FF0000"/>
              </a:solidFill>
            </a:rPr>
            <a:t>s21+s22+s32</a:t>
          </a:r>
          <a:r>
            <a:rPr lang="en-AU" sz="1000" baseline="0">
              <a:solidFill>
                <a:srgbClr val="FF0000"/>
              </a:solidFill>
            </a:rPr>
            <a:t>  </a:t>
          </a:r>
        </a:p>
        <a:p>
          <a:r>
            <a:rPr lang="en-AU" sz="1000" baseline="0">
              <a:solidFill>
                <a:srgbClr val="FF0000"/>
              </a:solidFill>
            </a:rPr>
            <a:t>s11+ s12 &gt;=15%</a:t>
          </a:r>
        </a:p>
        <a:p>
          <a:r>
            <a:rPr lang="en-AU" sz="1000" baseline="0">
              <a:solidFill>
                <a:srgbClr val="FF0000"/>
              </a:solidFill>
            </a:rPr>
            <a:t>s21+s22&gt;=15%</a:t>
          </a:r>
        </a:p>
        <a:p>
          <a:r>
            <a:rPr lang="en-AU" sz="1000" baseline="0">
              <a:solidFill>
                <a:srgbClr val="FF0000"/>
              </a:solidFill>
            </a:rPr>
            <a:t>s31+s32&gt;=15%</a:t>
          </a:r>
        </a:p>
        <a:p>
          <a:r>
            <a:rPr lang="en-AU" sz="1000" baseline="0">
              <a:solidFill>
                <a:srgbClr val="FF0000"/>
              </a:solidFill>
            </a:rPr>
            <a:t>s41+s42&gt;=20%</a:t>
          </a:r>
        </a:p>
        <a:p>
          <a:r>
            <a:rPr lang="en-AU" sz="1000" baseline="0">
              <a:solidFill>
                <a:srgbClr val="FF0000"/>
              </a:solidFill>
            </a:rPr>
            <a:t>s11&gt;=5%, s12&gt;=5%,s21&gt;=5%,s22&gt;=5%,s31&gt;=5%,s32&gt;=5%,s41&gt;=5%,s42&gt;=5%   </a:t>
          </a:r>
        </a:p>
        <a:p>
          <a:r>
            <a:rPr lang="en-AU" sz="1000" baseline="0">
              <a:solidFill>
                <a:srgbClr val="FF0000"/>
              </a:solidFill>
            </a:rPr>
            <a:t>s11,s21,s21,s22,s31,s32,s41,42 &gt;= 0     </a:t>
          </a:r>
          <a:r>
            <a:rPr lang="en-AU" sz="1000" baseline="0"/>
            <a:t>(Non -negative Constrain )</a:t>
          </a:r>
        </a:p>
        <a:p>
          <a:endParaRPr lang="en-AU" sz="10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335015</xdr:colOff>
      <xdr:row>1</xdr:row>
      <xdr:rowOff>68280</xdr:rowOff>
    </xdr:from>
    <xdr:to>
      <xdr:col>18</xdr:col>
      <xdr:colOff>150217</xdr:colOff>
      <xdr:row>15</xdr:row>
      <xdr:rowOff>81936</xdr:rowOff>
    </xdr:to>
    <xdr:sp macro="" textlink="">
      <xdr:nvSpPr>
        <xdr:cNvPr id="3" name="TextBox 2">
          <a:extLst>
            <a:ext uri="{FF2B5EF4-FFF2-40B4-BE49-F238E27FC236}">
              <a16:creationId xmlns:a16="http://schemas.microsoft.com/office/drawing/2014/main" id="{04545829-DCAE-2D44-8F48-BB781DB8155F}"/>
            </a:ext>
          </a:extLst>
        </xdr:cNvPr>
        <xdr:cNvSpPr txBox="1"/>
      </xdr:nvSpPr>
      <xdr:spPr>
        <a:xfrm>
          <a:off x="9347918" y="368710"/>
          <a:ext cx="6124234" cy="2990645"/>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lvl="0" indent="0" algn="l">
            <a:lnSpc>
              <a:spcPct val="100000"/>
            </a:lnSpc>
            <a:buNone/>
          </a:pPr>
          <a:r>
            <a:rPr lang="en-AU" sz="1100" b="1"/>
            <a:t>ILP Portfolio:</a:t>
          </a:r>
          <a:r>
            <a:rPr lang="en-IN" sz="1100" dirty="0">
              <a:solidFill>
                <a:schemeClr val="dk1"/>
              </a:solidFill>
            </a:rPr>
            <a:t>xi</a:t>
          </a:r>
          <a:r>
            <a:rPr lang="en-IN" sz="1100" b="0" i="0" u="none" strike="noStrike" dirty="0">
              <a:solidFill>
                <a:schemeClr val="dk1"/>
              </a:solidFill>
              <a:effectLst/>
              <a:latin typeface="+mn-lt"/>
              <a:ea typeface="+mn-ea"/>
              <a:cs typeface="+mn-cs"/>
            </a:rPr>
            <a:t> denote the binary decision variable for including stock in the portfolio,</a:t>
          </a:r>
        </a:p>
        <a:p>
          <a:pPr marL="0" lvl="0" indent="0" algn="l">
            <a:lnSpc>
              <a:spcPct val="100000"/>
            </a:lnSpc>
            <a:buNone/>
          </a:pPr>
          <a:r>
            <a:rPr lang="en-IN" sz="1100" b="1" dirty="0">
              <a:solidFill>
                <a:schemeClr val="dk1"/>
              </a:solidFill>
            </a:rPr>
            <a:t>x</a:t>
          </a:r>
          <a:r>
            <a:rPr lang="en-IN" sz="1100" b="1" i="0" u="none" strike="noStrike" dirty="0">
              <a:solidFill>
                <a:schemeClr val="dk1"/>
              </a:solidFill>
              <a:effectLst/>
              <a:latin typeface="+mn-lt"/>
              <a:ea typeface="+mn-ea"/>
              <a:cs typeface="+mn-cs"/>
            </a:rPr>
            <a:t>i=1 </a:t>
          </a:r>
          <a:r>
            <a:rPr lang="en-IN" sz="1100" b="0" i="0" u="none" strike="noStrike" dirty="0">
              <a:solidFill>
                <a:schemeClr val="dk1"/>
              </a:solidFill>
              <a:effectLst/>
              <a:latin typeface="+mn-lt"/>
              <a:ea typeface="+mn-ea"/>
              <a:cs typeface="+mn-cs"/>
            </a:rPr>
            <a:t>if stock</a:t>
          </a:r>
          <a:r>
            <a:rPr lang="en-IN" sz="1100" b="0" i="0" u="none" strike="noStrike" baseline="0" dirty="0">
              <a:solidFill>
                <a:schemeClr val="dk1"/>
              </a:solidFill>
              <a:effectLst/>
              <a:latin typeface="+mn-lt"/>
              <a:ea typeface="+mn-ea"/>
              <a:cs typeface="+mn-cs"/>
            </a:rPr>
            <a:t> </a:t>
          </a:r>
          <a:r>
            <a:rPr lang="en-IN" sz="1100" b="0" i="0" u="none" strike="noStrike" dirty="0">
              <a:solidFill>
                <a:schemeClr val="dk1"/>
              </a:solidFill>
              <a:effectLst/>
              <a:latin typeface="+mn-lt"/>
              <a:ea typeface="+mn-ea"/>
              <a:cs typeface="+mn-cs"/>
            </a:rPr>
            <a:t>is included,</a:t>
          </a:r>
          <a:r>
            <a:rPr lang="en-IN" sz="1100" b="0" i="0" u="none" strike="noStrike" baseline="0" dirty="0">
              <a:solidFill>
                <a:schemeClr val="dk1"/>
              </a:solidFill>
              <a:effectLst/>
              <a:latin typeface="+mn-lt"/>
              <a:ea typeface="+mn-ea"/>
              <a:cs typeface="+mn-cs"/>
            </a:rPr>
            <a:t> </a:t>
          </a:r>
          <a:r>
            <a:rPr lang="en-IN" sz="1100" b="0" i="0" u="none" strike="noStrike" dirty="0">
              <a:solidFill>
                <a:schemeClr val="dk1"/>
              </a:solidFill>
              <a:effectLst/>
              <a:latin typeface="+mn-lt"/>
              <a:ea typeface="+mn-ea"/>
              <a:cs typeface="+mn-cs"/>
            </a:rPr>
            <a:t>otherwise</a:t>
          </a:r>
          <a:r>
            <a:rPr lang="en-IN" sz="1100" b="0" i="0" u="none" strike="noStrike" baseline="0" dirty="0">
              <a:solidFill>
                <a:schemeClr val="dk1"/>
              </a:solidFill>
              <a:effectLst/>
              <a:latin typeface="+mn-lt"/>
              <a:ea typeface="+mn-ea"/>
              <a:cs typeface="+mn-cs"/>
            </a:rPr>
            <a:t> </a:t>
          </a:r>
          <a:r>
            <a:rPr lang="en-IN" sz="1100" b="1" baseline="0" dirty="0">
              <a:solidFill>
                <a:schemeClr val="dk1"/>
              </a:solidFill>
            </a:rPr>
            <a:t>x</a:t>
          </a:r>
          <a:r>
            <a:rPr lang="en-IN" sz="1100" b="1" i="0" u="none" strike="noStrike" dirty="0">
              <a:solidFill>
                <a:schemeClr val="dk1"/>
              </a:solidFill>
              <a:effectLst/>
              <a:latin typeface="+mn-lt"/>
              <a:ea typeface="+mn-ea"/>
              <a:cs typeface="+mn-cs"/>
            </a:rPr>
            <a:t>i​=0 </a:t>
          </a:r>
        </a:p>
        <a:p>
          <a:pPr marL="0" lvl="0" indent="0" algn="l">
            <a:lnSpc>
              <a:spcPct val="100000"/>
            </a:lnSpc>
            <a:buNone/>
          </a:pPr>
          <a:r>
            <a:rPr lang="en-IN" sz="1100" i="0" u="none" strike="noStrike" dirty="0">
              <a:solidFill>
                <a:schemeClr val="dk1"/>
              </a:solidFill>
              <a:effectLst/>
              <a:latin typeface="+mn-lt"/>
              <a:ea typeface="+mn-ea"/>
              <a:cs typeface="+mn-cs"/>
            </a:rPr>
            <a:t>Stocks denoted as </a:t>
          </a:r>
          <a:r>
            <a:rPr lang="en-IN" sz="1100" i="0" u="none" strike="noStrike" dirty="0" err="1">
              <a:solidFill>
                <a:schemeClr val="dk1"/>
              </a:solidFill>
              <a:effectLst/>
              <a:latin typeface="+mn-lt"/>
              <a:ea typeface="+mn-ea"/>
              <a:cs typeface="+mn-cs"/>
            </a:rPr>
            <a:t>s</a:t>
          </a:r>
          <a:r>
            <a:rPr lang="en-IN" sz="1100" b="1" dirty="0" err="1">
              <a:solidFill>
                <a:schemeClr val="dk1"/>
              </a:solidFill>
            </a:rPr>
            <a:t>i</a:t>
          </a:r>
          <a:r>
            <a:rPr lang="en-IN" sz="1100" b="1" dirty="0">
              <a:solidFill>
                <a:schemeClr val="dk1"/>
              </a:solidFill>
            </a:rPr>
            <a:t>=11,12,21,22,31,32,41,42)</a:t>
          </a:r>
          <a:endParaRPr lang="en-IN" sz="1100" b="1" i="0" u="none" strike="noStrike" dirty="0">
            <a:solidFill>
              <a:schemeClr val="dk1"/>
            </a:solidFill>
            <a:effectLst/>
            <a:latin typeface="+mn-lt"/>
            <a:ea typeface="+mn-ea"/>
            <a:cs typeface="+mn-cs"/>
          </a:endParaRPr>
        </a:p>
        <a:p>
          <a:pPr marL="0" lvl="0" indent="0" algn="l">
            <a:lnSpc>
              <a:spcPct val="100000"/>
            </a:lnSpc>
            <a:buNone/>
          </a:pPr>
          <a:r>
            <a:rPr lang="en-AU" sz="1100" b="1" dirty="0">
              <a:solidFill>
                <a:schemeClr val="dk1"/>
              </a:solidFill>
              <a:effectLst/>
              <a:latin typeface="+mn-lt"/>
              <a:ea typeface="+mn-ea"/>
              <a:cs typeface="+mn-cs"/>
            </a:rPr>
            <a:t>Objective</a:t>
          </a:r>
          <a:r>
            <a:rPr lang="en-AU" sz="1100" b="1" baseline="0" dirty="0">
              <a:solidFill>
                <a:schemeClr val="dk1"/>
              </a:solidFill>
              <a:effectLst/>
              <a:latin typeface="+mn-lt"/>
              <a:ea typeface="+mn-ea"/>
              <a:cs typeface="+mn-cs"/>
            </a:rPr>
            <a:t> Function : </a:t>
          </a:r>
          <a:r>
            <a:rPr lang="en-AU" sz="1100" baseline="0" dirty="0">
              <a:solidFill>
                <a:schemeClr val="dk1"/>
              </a:solidFill>
              <a:effectLst/>
              <a:latin typeface="+mn-lt"/>
              <a:ea typeface="+mn-ea"/>
              <a:cs typeface="+mn-cs"/>
            </a:rPr>
            <a:t>max  Z=  </a:t>
          </a:r>
          <a:r>
            <a:rPr lang="en-IN" sz="1100" b="0" i="0" u="none" strike="noStrike" dirty="0">
              <a:solidFill>
                <a:schemeClr val="dk1"/>
              </a:solidFill>
              <a:effectLst/>
              <a:latin typeface="+mn-lt"/>
              <a:ea typeface="+mn-ea"/>
              <a:cs typeface="+mn-cs"/>
            </a:rPr>
            <a:t>∑8si=1(xi​)</a:t>
          </a:r>
          <a:endParaRPr lang="en-AU" sz="1100" dirty="0">
            <a:effectLst/>
          </a:endParaRPr>
        </a:p>
        <a:p>
          <a:pPr marL="0" lvl="0" indent="0" algn="l">
            <a:lnSpc>
              <a:spcPct val="100000"/>
            </a:lnSpc>
            <a:buNone/>
          </a:pPr>
          <a:r>
            <a:rPr lang="en-AU" sz="1100" b="1" dirty="0"/>
            <a:t>Subject</a:t>
          </a:r>
          <a:r>
            <a:rPr lang="en-AU" sz="1100" b="1" baseline="0" dirty="0"/>
            <a:t> to:</a:t>
          </a:r>
        </a:p>
        <a:p>
          <a:pPr marL="0" lvl="0" indent="0" algn="l">
            <a:lnSpc>
              <a:spcPct val="100000"/>
            </a:lnSpc>
            <a:buNone/>
          </a:pPr>
          <a:r>
            <a:rPr lang="en-IN" sz="1100" b="0" i="0" u="none" strike="noStrike" dirty="0">
              <a:solidFill>
                <a:schemeClr val="dk1"/>
              </a:solidFill>
              <a:effectLst/>
              <a:latin typeface="+mn-lt"/>
              <a:ea typeface="+mn-ea"/>
              <a:cs typeface="+mn-cs"/>
            </a:rPr>
            <a:t>∑ 8si=1(xi=5)</a:t>
          </a:r>
          <a:r>
            <a:rPr lang="en-IN" sz="1100" b="0" i="0" u="none" strike="noStrike" baseline="0" dirty="0">
              <a:solidFill>
                <a:schemeClr val="dk1"/>
              </a:solidFill>
              <a:effectLst/>
              <a:latin typeface="+mn-lt"/>
              <a:ea typeface="+mn-ea"/>
              <a:cs typeface="+mn-cs"/>
            </a:rPr>
            <a:t>                                    </a:t>
          </a:r>
          <a:r>
            <a:rPr lang="en-IN" sz="1100" b="0" i="0" u="none" strike="noStrike" dirty="0">
              <a:solidFill>
                <a:schemeClr val="dk1"/>
              </a:solidFill>
              <a:effectLst/>
              <a:latin typeface="+mn-lt"/>
              <a:ea typeface="+mn-ea"/>
              <a:cs typeface="+mn-cs"/>
            </a:rPr>
            <a:t> (5 Stocks need to chosen )</a:t>
          </a:r>
        </a:p>
        <a:p>
          <a:pPr marL="0" lvl="0" indent="0" algn="l">
            <a:lnSpc>
              <a:spcPct val="100000"/>
            </a:lnSpc>
            <a:buNone/>
          </a:pPr>
          <a:r>
            <a:rPr lang="en-AU" sz="1100" dirty="0"/>
            <a:t>s11+s12</a:t>
          </a:r>
          <a:r>
            <a:rPr lang="en-AU" sz="1100" baseline="0" dirty="0"/>
            <a:t> &gt;=1                                  (Alease 1 stock from Health sector)</a:t>
          </a:r>
        </a:p>
        <a:p>
          <a:pPr marL="0" lvl="0" indent="0" algn="l">
            <a:lnSpc>
              <a:spcPct val="150000"/>
            </a:lnSpc>
            <a:spcBef>
              <a:spcPts val="0"/>
            </a:spcBef>
            <a:buNone/>
            <a:defRPr/>
          </a:pPr>
          <a:r>
            <a:rPr lang="en-AU" sz="1100" dirty="0"/>
            <a:t>s</a:t>
          </a:r>
          <a:r>
            <a:rPr lang="en-AU" sz="1100" baseline="0" dirty="0"/>
            <a:t>21+s22 &gt;=1                                  (Alease 1 stock from Technology  sector)</a:t>
          </a:r>
        </a:p>
        <a:p>
          <a:pPr marL="0" lvl="0" indent="0" algn="l">
            <a:lnSpc>
              <a:spcPct val="150000"/>
            </a:lnSpc>
            <a:spcBef>
              <a:spcPts val="0"/>
            </a:spcBef>
            <a:buNone/>
            <a:defRPr/>
          </a:pPr>
          <a:r>
            <a:rPr lang="en-AU" sz="1100" dirty="0"/>
            <a:t>s</a:t>
          </a:r>
          <a:r>
            <a:rPr lang="en-AU" sz="1100" baseline="0" dirty="0"/>
            <a:t>31+s32&gt;=1                                   (Alease 1 stock from Communication sector)</a:t>
          </a:r>
        </a:p>
        <a:p>
          <a:pPr marL="0" lvl="0" indent="0" algn="l">
            <a:lnSpc>
              <a:spcPct val="150000"/>
            </a:lnSpc>
            <a:spcBef>
              <a:spcPts val="0"/>
            </a:spcBef>
            <a:buNone/>
            <a:defRPr/>
          </a:pPr>
          <a:r>
            <a:rPr lang="en-AU" sz="1100" dirty="0"/>
            <a:t>s</a:t>
          </a:r>
          <a:r>
            <a:rPr lang="en-AU" sz="1100" baseline="0" dirty="0"/>
            <a:t>41+s42 &gt;=1                                  (Alease 1 stock from finance sector)</a:t>
          </a:r>
        </a:p>
        <a:p>
          <a:pPr marL="0" lvl="0" indent="0" algn="l">
            <a:lnSpc>
              <a:spcPct val="100000"/>
            </a:lnSpc>
            <a:buNone/>
          </a:pPr>
          <a:r>
            <a:rPr lang="en-AU" sz="1100" dirty="0">
              <a:solidFill>
                <a:schemeClr val="dk1"/>
              </a:solidFill>
              <a:effectLst/>
              <a:latin typeface="+mn-lt"/>
              <a:ea typeface="+mn-ea"/>
              <a:cs typeface="+mn-cs"/>
            </a:rPr>
            <a:t>s11+s12</a:t>
          </a:r>
          <a:r>
            <a:rPr lang="en-AU" sz="1100" baseline="0" dirty="0">
              <a:solidFill>
                <a:schemeClr val="dk1"/>
              </a:solidFill>
              <a:effectLst/>
              <a:latin typeface="+mn-lt"/>
              <a:ea typeface="+mn-ea"/>
              <a:cs typeface="+mn-cs"/>
            </a:rPr>
            <a:t> &lt;=1                                   (</a:t>
          </a:r>
          <a:r>
            <a:rPr lang="en-IN" sz="1100" b="0" i="0" u="none" strike="noStrike" dirty="0">
              <a:solidFill>
                <a:schemeClr val="dk1"/>
              </a:solidFill>
              <a:effectLst/>
              <a:latin typeface="+mn-lt"/>
              <a:ea typeface="+mn-ea"/>
              <a:cs typeface="+mn-cs"/>
            </a:rPr>
            <a:t>At most 1 stock from the highest-risk</a:t>
          </a:r>
          <a:r>
            <a:rPr lang="en-AU" sz="1100" baseline="0" dirty="0">
              <a:solidFill>
                <a:schemeClr val="dk1"/>
              </a:solidFill>
              <a:effectLst/>
              <a:latin typeface="+mn-lt"/>
              <a:ea typeface="+mn-ea"/>
              <a:cs typeface="+mn-cs"/>
            </a:rPr>
            <a:t>)</a:t>
          </a:r>
        </a:p>
        <a:p>
          <a:pPr marL="0" lvl="0" indent="0" algn="l">
            <a:lnSpc>
              <a:spcPct val="100000"/>
            </a:lnSpc>
            <a:buNone/>
          </a:pPr>
          <a:r>
            <a:rPr lang="en-AU" sz="1100" dirty="0">
              <a:solidFill>
                <a:schemeClr val="dk1"/>
              </a:solidFill>
            </a:rPr>
            <a:t>s</a:t>
          </a:r>
          <a:r>
            <a:rPr lang="en-AU" sz="1100" baseline="0" dirty="0">
              <a:solidFill>
                <a:schemeClr val="dk1"/>
              </a:solidFill>
              <a:effectLst/>
              <a:latin typeface="+mn-lt"/>
              <a:ea typeface="+mn-ea"/>
              <a:cs typeface="+mn-cs"/>
            </a:rPr>
            <a:t>31+s41+s42 &gt;=2                        (</a:t>
          </a:r>
          <a:r>
            <a:rPr lang="en-IN" sz="1100" b="0" i="0" u="none" strike="noStrike" dirty="0">
              <a:solidFill>
                <a:schemeClr val="dk1"/>
              </a:solidFill>
              <a:effectLst/>
              <a:latin typeface="+mn-lt"/>
              <a:ea typeface="+mn-ea"/>
              <a:cs typeface="+mn-cs"/>
            </a:rPr>
            <a:t>At least 2 stocks from the lowest-risk group</a:t>
          </a:r>
          <a:r>
            <a:rPr lang="en-AU" sz="1100" baseline="0" dirty="0">
              <a:solidFill>
                <a:schemeClr val="dk1"/>
              </a:solidFill>
              <a:effectLst/>
              <a:latin typeface="+mn-lt"/>
              <a:ea typeface="+mn-ea"/>
              <a:cs typeface="+mn-cs"/>
            </a:rPr>
            <a:t>)</a:t>
          </a:r>
        </a:p>
        <a:p>
          <a:pPr marL="0" lvl="0" indent="0" algn="l">
            <a:lnSpc>
              <a:spcPct val="100000"/>
            </a:lnSpc>
            <a:buNone/>
          </a:pPr>
          <a:r>
            <a:rPr lang="en-AU" sz="1100" dirty="0">
              <a:solidFill>
                <a:schemeClr val="dk1"/>
              </a:solidFill>
            </a:rPr>
            <a:t>s</a:t>
          </a:r>
          <a:r>
            <a:rPr lang="en-AU" sz="1100" dirty="0">
              <a:solidFill>
                <a:schemeClr val="dk1"/>
              </a:solidFill>
              <a:effectLst/>
              <a:latin typeface="+mn-lt"/>
              <a:ea typeface="+mn-ea"/>
              <a:cs typeface="+mn-cs"/>
            </a:rPr>
            <a:t>11+s12 &lt;= s21 +s22+s32</a:t>
          </a:r>
          <a:r>
            <a:rPr lang="en-AU" sz="1100" baseline="0" dirty="0">
              <a:solidFill>
                <a:schemeClr val="dk1"/>
              </a:solidFill>
              <a:effectLst/>
              <a:latin typeface="+mn-lt"/>
              <a:ea typeface="+mn-ea"/>
              <a:cs typeface="+mn-cs"/>
            </a:rPr>
            <a:t>      ( </a:t>
          </a:r>
          <a:r>
            <a:rPr lang="en-IN" sz="1100" b="0" i="0" u="none" strike="noStrike" dirty="0">
              <a:solidFill>
                <a:schemeClr val="dk1"/>
              </a:solidFill>
              <a:effectLst/>
              <a:latin typeface="+mn-lt"/>
              <a:ea typeface="+mn-ea"/>
              <a:cs typeface="+mn-cs"/>
            </a:rPr>
            <a:t>If any high-risk stock is selected, then at least one medium-risk</a:t>
          </a:r>
          <a:r>
            <a:rPr lang="en-IN" sz="1100" b="0" i="0" u="none" strike="noStrike" baseline="0" dirty="0">
              <a:solidFill>
                <a:schemeClr val="dk1"/>
              </a:solidFill>
              <a:effectLst/>
              <a:latin typeface="+mn-lt"/>
              <a:ea typeface="+mn-ea"/>
              <a:cs typeface="+mn-cs"/>
            </a:rPr>
            <a:t> </a:t>
          </a:r>
          <a:r>
            <a:rPr lang="en-IN" sz="1100" b="0" i="0" u="none" strike="noStrike" dirty="0">
              <a:solidFill>
                <a:schemeClr val="dk1"/>
              </a:solidFill>
              <a:effectLst/>
              <a:latin typeface="+mn-lt"/>
              <a:ea typeface="+mn-ea"/>
              <a:cs typeface="+mn-cs"/>
            </a:rPr>
            <a:t>stock selected </a:t>
          </a:r>
          <a:endParaRPr lang="en-AU" sz="1100" dirty="0">
            <a:solidFill>
              <a:schemeClr val="dk1"/>
            </a:solidFill>
            <a:effectLst/>
            <a:latin typeface="+mn-lt"/>
            <a:ea typeface="+mn-ea"/>
            <a:cs typeface="+mn-cs"/>
          </a:endParaRPr>
        </a:p>
        <a:p>
          <a:endParaRPr lang="en-AU" sz="1000"/>
        </a:p>
      </xdr:txBody>
    </xdr:sp>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9">
  <a r="1" c="49">
    <v t="i">0</v>
    <v t="i">31</v>
    <v t="i">59</v>
    <v t="i">90</v>
    <v t="i">120</v>
    <v t="i">151</v>
    <v t="i">181</v>
    <v t="i">212</v>
    <v t="i">243</v>
    <v t="i">273</v>
    <v t="i">304</v>
    <v t="i">334</v>
    <v t="i">365</v>
    <v t="i">396</v>
    <v t="i">424</v>
    <v t="i">455</v>
    <v t="i">485</v>
    <v t="i">516</v>
    <v t="i">546</v>
    <v t="i">577</v>
    <v t="i">608</v>
    <v t="i">638</v>
    <v t="i">669</v>
    <v t="i">699</v>
    <v t="i">730</v>
    <v t="i">761</v>
    <v t="i">789</v>
    <v t="i">820</v>
    <v t="i">850</v>
    <v t="i">881</v>
    <v t="i">911</v>
    <v t="i">942</v>
    <v t="i">973</v>
    <v t="i">1003</v>
    <v t="i">1034</v>
    <v t="i">1064</v>
    <v t="i">1095</v>
    <v t="i">1126</v>
    <v t="i">1155</v>
    <v t="i">1186</v>
    <v t="i">1216</v>
    <v t="i">1247</v>
    <v t="i">1277</v>
    <v t="i">1308</v>
    <v t="i">1339</v>
    <v t="i">1369</v>
    <v t="i">1400</v>
    <v t="i">1430</v>
    <v t="i">1461</v>
  </a>
  <a r="1" c="49">
    <v>0.65</v>
    <v>0.65</v>
    <v>0.75</v>
    <v>0.74</v>
    <v>0.72499999999999998</v>
    <v>0.63</v>
    <v>0.61</v>
    <v>0.69</v>
    <v>0.68500000000000005</v>
    <v>0.57999999999999996</v>
    <v>0.61</v>
    <v>0.64</v>
    <v>0.64500000000000002</v>
    <v>0.66</v>
    <v>0.69</v>
    <v>0.68</v>
    <v>0.56999999999999995</v>
    <v>0.55500000000000005</v>
    <v>0.6</v>
    <v>0.61499999999999999</v>
    <v>0.61</v>
    <v>0.61</v>
    <v>0.68500000000000005</v>
    <v>0.75</v>
    <v>0.83250000000000002</v>
    <v>0.8</v>
    <v>0.84</v>
    <v>0.82</v>
    <v>0.78500000000000003</v>
    <v>0.76500000000000001</v>
    <v>0.82</v>
    <v>0.84499999999999997</v>
    <v>0.88500000000000001</v>
    <v>0.84499999999999997</v>
    <v>0.84</v>
    <v>0.99</v>
    <v>0.92500000000000004</v>
    <v>1.02</v>
    <v>0.98499999999999999</v>
    <v>1.03</v>
    <v>1.145</v>
    <v>1.2549999999999999</v>
    <v>1.07</v>
    <v>0.94</v>
    <v>0.94499999999999995</v>
    <v>0.95</v>
    <v>0.94</v>
    <v>1.04</v>
    <v>0.94</v>
  </a>
  <a r="1" c="49">
    <v>3.12</v>
    <v>3.08</v>
    <v>3.4</v>
    <v>3.39</v>
    <v>3.52</v>
    <v>3.76</v>
    <v>3.78</v>
    <v>3.84</v>
    <v>3.93</v>
    <v>3.82</v>
    <v>4.07</v>
    <v>4.18</v>
    <v>3.92</v>
    <v>3.96</v>
    <v>3.96</v>
    <v>4.04</v>
    <v>3.88</v>
    <v>3.85</v>
    <v>3.89</v>
    <v>3.97</v>
    <v>3.85</v>
    <v>3.92</v>
    <v>3.98</v>
    <v>3.99</v>
    <v>4.08</v>
    <v>4.16</v>
    <v>4.22</v>
    <v>4.37</v>
    <v>4.3600000000000003</v>
    <v>4.3</v>
    <v>4.26</v>
    <v>4.01</v>
    <v>3.85</v>
    <v>3.81</v>
    <v>3.82</v>
    <v>3.96</v>
    <v>4.04</v>
    <v>3.82</v>
    <v>3.86</v>
    <v>3.67</v>
    <v>3.47</v>
    <v>3.62</v>
    <v>3.94</v>
    <v>3.93</v>
    <v>3.88</v>
    <v>3.82</v>
    <v>3.94</v>
    <v>4.01</v>
    <v>3.95</v>
  </a>
  <a r="1" c="49">
    <v>7.4</v>
    <v>6.8</v>
    <v>6.33</v>
    <v>5.51</v>
    <v>5.21</v>
    <v>6.26</v>
    <v>6.18</v>
    <v>6.16</v>
    <v>7.06</v>
    <v>6.75</v>
    <v>6.75</v>
    <v>5.89</v>
    <v>5.9</v>
    <v>5.59</v>
    <v>6.05</v>
    <v>5.88</v>
    <v>5.75</v>
    <v>5.97</v>
    <v>6.34</v>
    <v>5.35</v>
    <v>4.8499999999999996</v>
    <v>4.9000000000000004</v>
    <v>4.8899999999999997</v>
    <v>4.8899999999999997</v>
    <v>4.82</v>
    <v>5.07</v>
    <v>4.88</v>
    <v>5.37</v>
    <v>5.47</v>
    <v>4.87</v>
    <v>5.0199999999999996</v>
    <v>5.63</v>
    <v>5.46</v>
    <v>5.18</v>
    <v>4.72</v>
    <v>5.18</v>
    <v>5.29</v>
    <v>4.6900000000000004</v>
    <v>4.51</v>
    <v>4.51</v>
    <v>4.6500000000000004</v>
    <v>4.58</v>
    <v>4.75</v>
    <v>4.96</v>
    <v>4.92</v>
    <v>4.5199999999999996</v>
    <v>4.5</v>
    <v>4.49</v>
    <v>4.4000000000000004</v>
  </a>
  <a r="1" c="49">
    <v>83.51</v>
    <v>81.56</v>
    <v>86.1</v>
    <v>89.04</v>
    <v>99.72</v>
    <v>99.87</v>
    <v>99.65</v>
    <v>100.12</v>
    <v>104.33</v>
    <v>104.68</v>
    <v>93.18</v>
    <v>101</v>
    <v>93.74</v>
    <v>93.46</v>
    <v>105.77</v>
    <v>103.88</v>
    <v>104.36</v>
    <v>90.38</v>
    <v>100.77</v>
    <v>97.47</v>
    <v>90.7</v>
    <v>104.68</v>
    <v>107.86</v>
    <v>102.6</v>
    <v>110.06</v>
    <v>100.69</v>
    <v>98.32</v>
    <v>99.36</v>
    <v>96.78</v>
    <v>100.27</v>
    <v>105.71</v>
    <v>102.18</v>
    <v>99.97</v>
    <v>96.56</v>
    <v>104.66</v>
    <v>111.8</v>
    <v>117.53</v>
    <v>116.41</v>
    <v>120.34</v>
    <v>114.54</v>
    <v>119.54</v>
    <v>127.38</v>
    <v>137.49</v>
    <v>139.5</v>
    <v>135.38999999999999</v>
    <v>142.75</v>
    <v>158.58000000000001</v>
    <v>153.25</v>
    <v>160.56</v>
  </a>
  <a r="1" c="49">
    <v>129.88999999999999</v>
    <v>118.43</v>
    <v>126.53</v>
    <v>141.56</v>
    <v>132.65</v>
    <v>137.1</v>
    <v>140.28</v>
    <v>151.82</v>
    <v>139</v>
    <v>149.51</v>
    <v>144.84</v>
    <v>141.44</v>
    <v>112.91</v>
    <v>93.73</v>
    <v>102.75</v>
    <v>96.35</v>
    <v>89.29</v>
    <v>76.959999999999994</v>
    <v>92.99</v>
    <v>87.75</v>
    <v>73.510000000000005</v>
    <v>78.069999999999993</v>
    <v>70.64</v>
    <v>70.27</v>
    <v>76.8</v>
    <v>77.7</v>
    <v>89.42</v>
    <v>93.34</v>
    <v>109.95</v>
    <v>118.93</v>
    <v>122.21</v>
    <v>125.1</v>
    <v>112.43</v>
    <v>106.69</v>
    <v>103.05</v>
    <v>112.3</v>
    <v>110.79</v>
    <v>127.31</v>
    <v>133.32</v>
    <v>122.08</v>
    <v>135</v>
    <v>136.4</v>
    <v>138.18</v>
    <v>142.84</v>
    <v>149.44</v>
    <v>149.5</v>
    <v>173.85</v>
    <v>168.56</v>
    <v>183.27</v>
  </a>
  <a r="1" c="49">
    <v>0.24</v>
    <v>0.27</v>
    <v>0.24</v>
    <v>0.22500000000000001</v>
    <v>0.26500000000000001</v>
    <v>0.26500000000000001</v>
    <v>0.26</v>
    <v>0.3</v>
    <v>0.30499999999999999</v>
    <v>0.28499999999999998</v>
    <v>0.3</v>
    <v>0.36</v>
    <v>0.35</v>
    <v>0.38</v>
    <v>0.45</v>
    <v>0.41499999999999998</v>
    <v>0.315</v>
    <v>0.28000000000000003</v>
    <v>0.315</v>
    <v>0.39</v>
    <v>0.33</v>
    <v>0.34499999999999997</v>
    <v>0.35</v>
    <v>0.315</v>
    <v>0.29499999999999998</v>
    <v>0.26500000000000001</v>
    <v>0.245</v>
    <v>0.28000000000000003</v>
    <v>0.25</v>
    <v>0.23499999999999999</v>
    <v>0.23</v>
    <v>0.19</v>
    <v>0.17</v>
    <v>0.18</v>
    <v>0.19</v>
    <v>0.22500000000000001</v>
    <v>0.215</v>
    <v>0.20499999999999999</v>
    <v>0.31</v>
    <v>0.32500000000000001</v>
    <v>0.39</v>
    <v>0.44</v>
    <v>0.45</v>
    <v>0.41</v>
    <v>0.44500000000000001</v>
    <v>0.42</v>
    <v>0.495</v>
    <v>0.48</v>
    <v>0.54500000000000004</v>
  </a>
  <a r="1" c="49">
    <v>42.84</v>
    <v>44.35</v>
    <v>41.33</v>
    <v>47.21</v>
    <v>46.11</v>
    <v>58.72</v>
    <v>57.98</v>
    <v>63.07</v>
    <v>54.61</v>
    <v>53.28</v>
    <v>62.48</v>
    <v>62.44</v>
    <v>45.1</v>
    <v>46.73</v>
    <v>48.99</v>
    <v>47.48</v>
    <v>42.13</v>
    <v>42.25</v>
    <v>49.54</v>
    <v>54.48</v>
    <v>50.19</v>
    <v>55.82</v>
    <v>59.44</v>
    <v>55.26</v>
    <v>66.849999999999994</v>
    <v>61.01</v>
    <v>63.87</v>
    <v>61.44</v>
    <v>59.35</v>
    <v>65.64</v>
    <v>68.790000000000006</v>
    <v>73.319999999999993</v>
    <v>83.39</v>
    <v>74.540000000000006</v>
    <v>88.41</v>
    <v>95.83</v>
    <v>101.56</v>
    <v>103.82</v>
    <v>103.75</v>
    <v>111.41</v>
    <v>120.12</v>
    <v>143.26</v>
    <v>143.76</v>
    <v>150.69999999999999</v>
    <v>178.25</v>
    <v>194.83</v>
    <v>251.89</v>
    <v>250.12</v>
    <v>278.39999999999998</v>
  </a>
  <a r="1" c="49">
    <v>10.0009</v>
    <v>9.8620000000000001</v>
    <v>9.8223000000000003</v>
    <v>10.4275</v>
    <v>11.0327</v>
    <v>11.0228</v>
    <v>11.449400000000001</v>
    <v>12.460100000000001</v>
    <v>12.539899999999999</v>
    <v>11.7013</v>
    <v>10.8027</v>
    <v>11.052300000000001</v>
    <v>11.022399999999999</v>
    <v>10.752800000000001</v>
    <v>11.1022</v>
    <v>11.441700000000001</v>
    <v>11.331899999999999</v>
    <v>10.9625</v>
    <v>11.1721</v>
    <v>10.8826</v>
    <v>10.013999999999999</v>
    <v>11.3918</v>
    <v>11.901</v>
    <v>12.020799999999999</v>
    <v>12.51</v>
    <v>12.829499999999999</v>
    <v>12.0906</v>
    <v>12.460100000000001</v>
    <v>13.278700000000001</v>
    <v>13.468400000000001</v>
    <v>14.2073</v>
    <v>13.6082</v>
    <v>13.947699999999999</v>
    <v>13.358599999999999</v>
    <v>13.947699999999999</v>
    <v>13.8279</v>
    <v>14.167299999999999</v>
    <v>15.275600000000001</v>
    <v>16.3538</v>
    <v>16.593399999999999</v>
    <v>15.884600000000001</v>
    <v>17.382200000000001</v>
    <v>17.781500000000001</v>
    <v>17.6418</v>
    <v>18.0611</v>
    <v>17.891400000000001</v>
    <v>19.668500000000002</v>
    <v>18.979600000000001</v>
    <v>20.776700000000002</v>
  </a>
</arrayData>
</file>

<file path=xl/richData/rdrichvalue.xml><?xml version="1.0" encoding="utf-8"?>
<rvData xmlns="http://schemas.microsoft.com/office/spreadsheetml/2017/richdata" count="405">
  <rv s="0">
    <fb>44197</fb>
    <v>0</v>
  </rv>
  <rv s="0">
    <fb>42.84</fb>
    <v>1</v>
  </rv>
  <rv s="0">
    <fb>0.24</fb>
    <v>1</v>
  </rv>
  <rv s="0">
    <fb>129.88999999999999</fb>
    <v>1</v>
  </rv>
  <rv s="0">
    <fb>0.65</fb>
    <v>1</v>
  </rv>
  <rv s="0">
    <fb>3.12</fb>
    <v>1</v>
  </rv>
  <rv s="0">
    <fb>7.4</fb>
    <v>1</v>
  </rv>
  <rv s="0">
    <fb>83.51</fb>
    <v>1</v>
  </rv>
  <rv s="0">
    <fb>10.0009</fb>
    <v>1</v>
  </rv>
  <rv s="0">
    <fb>44228</fb>
    <v>0</v>
  </rv>
  <rv s="0">
    <fb>44.35</fb>
    <v>1</v>
  </rv>
  <rv s="0">
    <fb>0.27</fb>
    <v>1</v>
  </rv>
  <rv s="0">
    <fb>118.43</fb>
    <v>1</v>
  </rv>
  <rv s="0">
    <fb>3.08</fb>
    <v>1</v>
  </rv>
  <rv s="0">
    <fb>6.8</fb>
    <v>1</v>
  </rv>
  <rv s="0">
    <fb>81.56</fb>
    <v>1</v>
  </rv>
  <rv s="0">
    <fb>9.8620000000000001</fb>
    <v>1</v>
  </rv>
  <rv s="0">
    <fb>44256</fb>
    <v>0</v>
  </rv>
  <rv s="0">
    <fb>41.33</fb>
    <v>1</v>
  </rv>
  <rv s="0">
    <fb>126.53</fb>
    <v>1</v>
  </rv>
  <rv s="0">
    <fb>0.75</fb>
    <v>1</v>
  </rv>
  <rv s="0">
    <fb>3.4</fb>
    <v>1</v>
  </rv>
  <rv s="0">
    <fb>6.33</fb>
    <v>1</v>
  </rv>
  <rv s="0">
    <fb>86.1</fb>
    <v>1</v>
  </rv>
  <rv s="0">
    <fb>9.8223000000000003</fb>
    <v>1</v>
  </rv>
  <rv s="0">
    <fb>44287</fb>
    <v>0</v>
  </rv>
  <rv s="0">
    <fb>47.21</fb>
    <v>1</v>
  </rv>
  <rv s="0">
    <fb>0.22500000000000001</fb>
    <v>1</v>
  </rv>
  <rv s="0">
    <fb>141.56</fb>
    <v>1</v>
  </rv>
  <rv s="0">
    <fb>0.74</fb>
    <v>1</v>
  </rv>
  <rv s="0">
    <fb>3.39</fb>
    <v>1</v>
  </rv>
  <rv s="0">
    <fb>5.51</fb>
    <v>1</v>
  </rv>
  <rv s="0">
    <fb>89.04</fb>
    <v>1</v>
  </rv>
  <rv s="0">
    <fb>10.4275</fb>
    <v>1</v>
  </rv>
  <rv s="0">
    <fb>44317</fb>
    <v>0</v>
  </rv>
  <rv s="0">
    <fb>46.11</fb>
    <v>1</v>
  </rv>
  <rv s="0">
    <fb>0.26500000000000001</fb>
    <v>1</v>
  </rv>
  <rv s="0">
    <fb>132.65</fb>
    <v>1</v>
  </rv>
  <rv s="0">
    <fb>0.72499999999999998</fb>
    <v>1</v>
  </rv>
  <rv s="0">
    <fb>3.52</fb>
    <v>1</v>
  </rv>
  <rv s="0">
    <fb>5.21</fb>
    <v>1</v>
  </rv>
  <rv s="0">
    <fb>99.72</fb>
    <v>1</v>
  </rv>
  <rv s="0">
    <fb>11.0327</fb>
    <v>1</v>
  </rv>
  <rv s="0">
    <fb>44348</fb>
    <v>0</v>
  </rv>
  <rv s="0">
    <fb>58.72</fb>
    <v>1</v>
  </rv>
  <rv s="0">
    <fb>137.1</fb>
    <v>1</v>
  </rv>
  <rv s="0">
    <fb>0.63</fb>
    <v>1</v>
  </rv>
  <rv s="0">
    <fb>3.76</fb>
    <v>1</v>
  </rv>
  <rv s="0">
    <fb>6.26</fb>
    <v>1</v>
  </rv>
  <rv s="0">
    <fb>99.87</fb>
    <v>1</v>
  </rv>
  <rv s="0">
    <fb>11.0228</fb>
    <v>1</v>
  </rv>
  <rv s="0">
    <fb>44378</fb>
    <v>0</v>
  </rv>
  <rv s="0">
    <fb>57.98</fb>
    <v>1</v>
  </rv>
  <rv s="0">
    <fb>0.26</fb>
    <v>1</v>
  </rv>
  <rv s="0">
    <fb>140.28</fb>
    <v>1</v>
  </rv>
  <rv s="0">
    <fb>0.61</fb>
    <v>1</v>
  </rv>
  <rv s="0">
    <fb>3.78</fb>
    <v>1</v>
  </rv>
  <rv s="0">
    <fb>6.18</fb>
    <v>1</v>
  </rv>
  <rv s="0">
    <fb>99.65</fb>
    <v>1</v>
  </rv>
  <rv s="0">
    <fb>11.449400000000001</fb>
    <v>1</v>
  </rv>
  <rv s="0">
    <fb>44409</fb>
    <v>0</v>
  </rv>
  <rv s="0">
    <fb>63.07</fb>
    <v>1</v>
  </rv>
  <rv s="0">
    <fb>0.3</fb>
    <v>1</v>
  </rv>
  <rv s="0">
    <fb>151.82</fb>
    <v>1</v>
  </rv>
  <rv s="0">
    <fb>0.69</fb>
    <v>1</v>
  </rv>
  <rv s="0">
    <fb>3.84</fb>
    <v>1</v>
  </rv>
  <rv s="0">
    <fb>6.16</fb>
    <v>1</v>
  </rv>
  <rv s="0">
    <fb>100.12</fb>
    <v>1</v>
  </rv>
  <rv s="0">
    <fb>12.460100000000001</fb>
    <v>1</v>
  </rv>
  <rv s="0">
    <fb>44440</fb>
    <v>0</v>
  </rv>
  <rv s="0">
    <fb>54.61</fb>
    <v>1</v>
  </rv>
  <rv s="0">
    <fb>0.30499999999999999</fb>
    <v>1</v>
  </rv>
  <rv s="0">
    <fb>139</fb>
    <v>1</v>
  </rv>
  <rv s="0">
    <fb>0.68500000000000005</fb>
    <v>1</v>
  </rv>
  <rv s="0">
    <fb>3.93</fb>
    <v>1</v>
  </rv>
  <rv s="0">
    <fb>7.06</fb>
    <v>1</v>
  </rv>
  <rv s="0">
    <fb>104.33</fb>
    <v>1</v>
  </rv>
  <rv s="0">
    <fb>12.539899999999999</fb>
    <v>1</v>
  </rv>
  <rv s="0">
    <fb>44470</fb>
    <v>0</v>
  </rv>
  <rv s="0">
    <fb>53.28</fb>
    <v>1</v>
  </rv>
  <rv s="0">
    <fb>0.28499999999999998</fb>
    <v>1</v>
  </rv>
  <rv s="0">
    <fb>149.51</fb>
    <v>1</v>
  </rv>
  <rv s="0">
    <fb>0.57999999999999996</fb>
    <v>1</v>
  </rv>
  <rv s="0">
    <fb>3.82</fb>
    <v>1</v>
  </rv>
  <rv s="0">
    <fb>6.75</fb>
    <v>1</v>
  </rv>
  <rv s="0">
    <fb>104.68</fb>
    <v>1</v>
  </rv>
  <rv s="0">
    <fb>11.7013</fb>
    <v>1</v>
  </rv>
  <rv s="0">
    <fb>44501</fb>
    <v>0</v>
  </rv>
  <rv s="0">
    <fb>62.48</fb>
    <v>1</v>
  </rv>
  <rv s="0">
    <fb>144.84</fb>
    <v>1</v>
  </rv>
  <rv s="0">
    <fb>4.07</fb>
    <v>1</v>
  </rv>
  <rv s="0">
    <fb>93.18</fb>
    <v>1</v>
  </rv>
  <rv s="0">
    <fb>10.8027</fb>
    <v>1</v>
  </rv>
  <rv s="0">
    <fb>44531</fb>
    <v>0</v>
  </rv>
  <rv s="0">
    <fb>62.44</fb>
    <v>1</v>
  </rv>
  <rv s="0">
    <fb>0.36</fb>
    <v>1</v>
  </rv>
  <rv s="0">
    <fb>141.44</fb>
    <v>1</v>
  </rv>
  <rv s="0">
    <fb>0.64</fb>
    <v>1</v>
  </rv>
  <rv s="0">
    <fb>4.18</fb>
    <v>1</v>
  </rv>
  <rv s="0">
    <fb>5.89</fb>
    <v>1</v>
  </rv>
  <rv s="0">
    <fb>101</fb>
    <v>1</v>
  </rv>
  <rv s="0">
    <fb>11.052300000000001</fb>
    <v>1</v>
  </rv>
  <rv s="0">
    <fb>44562</fb>
    <v>0</v>
  </rv>
  <rv s="0">
    <fb>45.1</fb>
    <v>1</v>
  </rv>
  <rv s="0">
    <fb>0.35</fb>
    <v>1</v>
  </rv>
  <rv s="0">
    <fb>112.91</fb>
    <v>1</v>
  </rv>
  <rv s="0">
    <fb>0.64500000000000002</fb>
    <v>1</v>
  </rv>
  <rv s="0">
    <fb>3.92</fb>
    <v>1</v>
  </rv>
  <rv s="0">
    <fb>5.9</fb>
    <v>1</v>
  </rv>
  <rv s="0">
    <fb>93.74</fb>
    <v>1</v>
  </rv>
  <rv s="0">
    <fb>11.022399999999999</fb>
    <v>1</v>
  </rv>
  <rv s="0">
    <fb>44593</fb>
    <v>0</v>
  </rv>
  <rv s="0">
    <fb>46.73</fb>
    <v>1</v>
  </rv>
  <rv s="0">
    <fb>0.38</fb>
    <v>1</v>
  </rv>
  <rv s="0">
    <fb>93.73</fb>
    <v>1</v>
  </rv>
  <rv s="0">
    <fb>0.66</fb>
    <v>1</v>
  </rv>
  <rv s="0">
    <fb>3.96</fb>
    <v>1</v>
  </rv>
  <rv s="0">
    <fb>5.59</fb>
    <v>1</v>
  </rv>
  <rv s="0">
    <fb>93.46</fb>
    <v>1</v>
  </rv>
  <rv s="0">
    <fb>10.752800000000001</fb>
    <v>1</v>
  </rv>
  <rv s="0">
    <fb>44621</fb>
    <v>0</v>
  </rv>
  <rv s="0">
    <fb>48.99</fb>
    <v>1</v>
  </rv>
  <rv s="0">
    <fb>0.45</fb>
    <v>1</v>
  </rv>
  <rv s="0">
    <fb>102.75</fb>
    <v>1</v>
  </rv>
  <rv s="0">
    <fb>6.05</fb>
    <v>1</v>
  </rv>
  <rv s="0">
    <fb>105.77</fb>
    <v>1</v>
  </rv>
  <rv s="0">
    <fb>11.1022</fb>
    <v>1</v>
  </rv>
  <rv s="0">
    <fb>44652</fb>
    <v>0</v>
  </rv>
  <rv s="0">
    <fb>47.48</fb>
    <v>1</v>
  </rv>
  <rv s="0">
    <fb>0.41499999999999998</fb>
    <v>1</v>
  </rv>
  <rv s="0">
    <fb>96.35</fb>
    <v>1</v>
  </rv>
  <rv s="0">
    <fb>0.68</fb>
    <v>1</v>
  </rv>
  <rv s="0">
    <fb>4.04</fb>
    <v>1</v>
  </rv>
  <rv s="0">
    <fb>5.88</fb>
    <v>1</v>
  </rv>
  <rv s="0">
    <fb>103.88</fb>
    <v>1</v>
  </rv>
  <rv s="0">
    <fb>11.441700000000001</fb>
    <v>1</v>
  </rv>
  <rv s="0">
    <fb>44682</fb>
    <v>0</v>
  </rv>
  <rv s="0">
    <fb>42.13</fb>
    <v>1</v>
  </rv>
  <rv s="0">
    <fb>0.315</fb>
    <v>1</v>
  </rv>
  <rv s="0">
    <fb>89.29</fb>
    <v>1</v>
  </rv>
  <rv s="0">
    <fb>0.56999999999999995</fb>
    <v>1</v>
  </rv>
  <rv s="0">
    <fb>3.88</fb>
    <v>1</v>
  </rv>
  <rv s="0">
    <fb>5.75</fb>
    <v>1</v>
  </rv>
  <rv s="0">
    <fb>104.36</fb>
    <v>1</v>
  </rv>
  <rv s="0">
    <fb>11.331899999999999</fb>
    <v>1</v>
  </rv>
  <rv s="0">
    <fb>44713</fb>
    <v>0</v>
  </rv>
  <rv s="0">
    <fb>42.25</fb>
    <v>1</v>
  </rv>
  <rv s="0">
    <fb>0.28000000000000003</fb>
    <v>1</v>
  </rv>
  <rv s="0">
    <fb>76.959999999999994</fb>
    <v>1</v>
  </rv>
  <rv s="0">
    <fb>0.55500000000000005</fb>
    <v>1</v>
  </rv>
  <rv s="0">
    <fb>3.85</fb>
    <v>1</v>
  </rv>
  <rv s="0">
    <fb>5.97</fb>
    <v>1</v>
  </rv>
  <rv s="0">
    <fb>90.38</fb>
    <v>1</v>
  </rv>
  <rv s="0">
    <fb>10.9625</fb>
    <v>1</v>
  </rv>
  <rv s="0">
    <fb>44743</fb>
    <v>0</v>
  </rv>
  <rv s="0">
    <fb>49.54</fb>
    <v>1</v>
  </rv>
  <rv s="0">
    <fb>92.99</fb>
    <v>1</v>
  </rv>
  <rv s="0">
    <fb>0.6</fb>
    <v>1</v>
  </rv>
  <rv s="0">
    <fb>3.89</fb>
    <v>1</v>
  </rv>
  <rv s="0">
    <fb>6.34</fb>
    <v>1</v>
  </rv>
  <rv s="0">
    <fb>100.77</fb>
    <v>1</v>
  </rv>
  <rv s="0">
    <fb>11.1721</fb>
    <v>1</v>
  </rv>
  <rv s="0">
    <fb>44774</fb>
    <v>0</v>
  </rv>
  <rv s="0">
    <fb>54.48</fb>
    <v>1</v>
  </rv>
  <rv s="0">
    <fb>0.39</fb>
    <v>1</v>
  </rv>
  <rv s="0">
    <fb>87.75</fb>
    <v>1</v>
  </rv>
  <rv s="0">
    <fb>0.61499999999999999</fb>
    <v>1</v>
  </rv>
  <rv s="0">
    <fb>3.97</fb>
    <v>1</v>
  </rv>
  <rv s="0">
    <fb>5.35</fb>
    <v>1</v>
  </rv>
  <rv s="0">
    <fb>97.47</fb>
    <v>1</v>
  </rv>
  <rv s="0">
    <fb>10.8826</fb>
    <v>1</v>
  </rv>
  <rv s="0">
    <fb>44805</fb>
    <v>0</v>
  </rv>
  <rv s="0">
    <fb>50.19</fb>
    <v>1</v>
  </rv>
  <rv s="0">
    <fb>0.33</fb>
    <v>1</v>
  </rv>
  <rv s="0">
    <fb>73.510000000000005</fb>
    <v>1</v>
  </rv>
  <rv s="0">
    <fb>4.8499999999999996</fb>
    <v>1</v>
  </rv>
  <rv s="0">
    <fb>90.7</fb>
    <v>1</v>
  </rv>
  <rv s="0">
    <fb>10.013999999999999</fb>
    <v>1</v>
  </rv>
  <rv s="0">
    <fb>44835</fb>
    <v>0</v>
  </rv>
  <rv s="0">
    <fb>55.82</fb>
    <v>1</v>
  </rv>
  <rv s="0">
    <fb>0.34499999999999997</fb>
    <v>1</v>
  </rv>
  <rv s="0">
    <fb>78.069999999999993</fb>
    <v>1</v>
  </rv>
  <rv s="0">
    <fb>4.9000000000000004</fb>
    <v>1</v>
  </rv>
  <rv s="0">
    <fb>11.3918</fb>
    <v>1</v>
  </rv>
  <rv s="0">
    <fb>44866</fb>
    <v>0</v>
  </rv>
  <rv s="0">
    <fb>59.44</fb>
    <v>1</v>
  </rv>
  <rv s="0">
    <fb>70.64</fb>
    <v>1</v>
  </rv>
  <rv s="0">
    <fb>3.98</fb>
    <v>1</v>
  </rv>
  <rv s="0">
    <fb>4.8899999999999997</fb>
    <v>1</v>
  </rv>
  <rv s="0">
    <fb>107.86</fb>
    <v>1</v>
  </rv>
  <rv s="0">
    <fb>11.901</fb>
    <v>1</v>
  </rv>
  <rv s="0">
    <fb>44896</fb>
    <v>0</v>
  </rv>
  <rv s="0">
    <fb>55.26</fb>
    <v>1</v>
  </rv>
  <rv s="0">
    <fb>70.27</fb>
    <v>1</v>
  </rv>
  <rv s="0">
    <fb>3.99</fb>
    <v>1</v>
  </rv>
  <rv s="0">
    <fb>102.6</fb>
    <v>1</v>
  </rv>
  <rv s="0">
    <fb>12.020799999999999</fb>
    <v>1</v>
  </rv>
  <rv s="0">
    <fb>44927</fb>
    <v>0</v>
  </rv>
  <rv s="0">
    <fb>66.849999999999994</fb>
    <v>1</v>
  </rv>
  <rv s="0">
    <fb>0.29499999999999998</fb>
    <v>1</v>
  </rv>
  <rv s="0">
    <fb>76.8</fb>
    <v>1</v>
  </rv>
  <rv s="0">
    <fb>0.83250000000000002</fb>
    <v>1</v>
  </rv>
  <rv s="0">
    <fb>4.08</fb>
    <v>1</v>
  </rv>
  <rv s="0">
    <fb>4.82</fb>
    <v>1</v>
  </rv>
  <rv s="0">
    <fb>110.06</fb>
    <v>1</v>
  </rv>
  <rv s="0">
    <fb>12.51</fb>
    <v>1</v>
  </rv>
  <rv s="0">
    <fb>44958</fb>
    <v>0</v>
  </rv>
  <rv s="0">
    <fb>61.01</fb>
    <v>1</v>
  </rv>
  <rv s="0">
    <fb>77.7</fb>
    <v>1</v>
  </rv>
  <rv s="0">
    <fb>0.8</fb>
    <v>1</v>
  </rv>
  <rv s="0">
    <fb>4.16</fb>
    <v>1</v>
  </rv>
  <rv s="0">
    <fb>5.07</fb>
    <v>1</v>
  </rv>
  <rv s="0">
    <fb>100.69</fb>
    <v>1</v>
  </rv>
  <rv s="0">
    <fb>12.829499999999999</fb>
    <v>1</v>
  </rv>
  <rv s="0">
    <fb>44986</fb>
    <v>0</v>
  </rv>
  <rv s="0">
    <fb>63.87</fb>
    <v>1</v>
  </rv>
  <rv s="0">
    <fb>0.245</fb>
    <v>1</v>
  </rv>
  <rv s="0">
    <fb>89.42</fb>
    <v>1</v>
  </rv>
  <rv s="0">
    <fb>0.84</fb>
    <v>1</v>
  </rv>
  <rv s="0">
    <fb>4.22</fb>
    <v>1</v>
  </rv>
  <rv s="0">
    <fb>4.88</fb>
    <v>1</v>
  </rv>
  <rv s="0">
    <fb>98.32</fb>
    <v>1</v>
  </rv>
  <rv s="0">
    <fb>12.0906</fb>
    <v>1</v>
  </rv>
  <rv s="0">
    <fb>45017</fb>
    <v>0</v>
  </rv>
  <rv s="0">
    <fb>61.44</fb>
    <v>1</v>
  </rv>
  <rv s="0">
    <fb>93.34</fb>
    <v>1</v>
  </rv>
  <rv s="0">
    <fb>0.82</fb>
    <v>1</v>
  </rv>
  <rv s="0">
    <fb>4.37</fb>
    <v>1</v>
  </rv>
  <rv s="0">
    <fb>5.37</fb>
    <v>1</v>
  </rv>
  <rv s="0">
    <fb>99.36</fb>
    <v>1</v>
  </rv>
  <rv s="0">
    <fb>45047</fb>
    <v>0</v>
  </rv>
  <rv s="0">
    <fb>59.35</fb>
    <v>1</v>
  </rv>
  <rv s="0">
    <fb>0.25</fb>
    <v>1</v>
  </rv>
  <rv s="0">
    <fb>109.95</fb>
    <v>1</v>
  </rv>
  <rv s="0">
    <fb>0.78500000000000003</fb>
    <v>1</v>
  </rv>
  <rv s="0">
    <fb>4.3600000000000003</fb>
    <v>1</v>
  </rv>
  <rv s="0">
    <fb>5.47</fb>
    <v>1</v>
  </rv>
  <rv s="0">
    <fb>96.78</fb>
    <v>1</v>
  </rv>
  <rv s="0">
    <fb>13.278700000000001</fb>
    <v>1</v>
  </rv>
  <rv s="0">
    <fb>45078</fb>
    <v>0</v>
  </rv>
  <rv s="0">
    <fb>65.64</fb>
    <v>1</v>
  </rv>
  <rv s="0">
    <fb>0.23499999999999999</fb>
    <v>1</v>
  </rv>
  <rv s="0">
    <fb>118.93</fb>
    <v>1</v>
  </rv>
  <rv s="0">
    <fb>0.76500000000000001</fb>
    <v>1</v>
  </rv>
  <rv s="0">
    <fb>4.3</fb>
    <v>1</v>
  </rv>
  <rv s="0">
    <fb>4.87</fb>
    <v>1</v>
  </rv>
  <rv s="0">
    <fb>100.27</fb>
    <v>1</v>
  </rv>
  <rv s="0">
    <fb>13.468400000000001</fb>
    <v>1</v>
  </rv>
  <rv s="0">
    <fb>45108</fb>
    <v>0</v>
  </rv>
  <rv s="0">
    <fb>68.790000000000006</fb>
    <v>1</v>
  </rv>
  <rv s="0">
    <fb>0.23</fb>
    <v>1</v>
  </rv>
  <rv s="0">
    <fb>122.21</fb>
    <v>1</v>
  </rv>
  <rv s="0">
    <fb>4.26</fb>
    <v>1</v>
  </rv>
  <rv s="0">
    <fb>5.0199999999999996</fb>
    <v>1</v>
  </rv>
  <rv s="0">
    <fb>105.71</fb>
    <v>1</v>
  </rv>
  <rv s="0">
    <fb>14.2073</fb>
    <v>1</v>
  </rv>
  <rv s="0">
    <fb>45139</fb>
    <v>0</v>
  </rv>
  <rv s="0">
    <fb>73.319999999999993</fb>
    <v>1</v>
  </rv>
  <rv s="0">
    <fb>0.19</fb>
    <v>1</v>
  </rv>
  <rv s="0">
    <fb>125.1</fb>
    <v>1</v>
  </rv>
  <rv s="0">
    <fb>0.84499999999999997</fb>
    <v>1</v>
  </rv>
  <rv s="0">
    <fb>4.01</fb>
    <v>1</v>
  </rv>
  <rv s="0">
    <fb>5.63</fb>
    <v>1</v>
  </rv>
  <rv s="0">
    <fb>102.18</fb>
    <v>1</v>
  </rv>
  <rv s="0">
    <fb>13.6082</fb>
    <v>1</v>
  </rv>
  <rv s="0">
    <fb>45170</fb>
    <v>0</v>
  </rv>
  <rv s="0">
    <fb>83.39</fb>
    <v>1</v>
  </rv>
  <rv s="0">
    <fb>0.17</fb>
    <v>1</v>
  </rv>
  <rv s="0">
    <fb>112.43</fb>
    <v>1</v>
  </rv>
  <rv s="0">
    <fb>0.88500000000000001</fb>
    <v>1</v>
  </rv>
  <rv s="0">
    <fb>5.46</fb>
    <v>1</v>
  </rv>
  <rv s="0">
    <fb>99.97</fb>
    <v>1</v>
  </rv>
  <rv s="0">
    <fb>13.947699999999999</fb>
    <v>1</v>
  </rv>
  <rv s="0">
    <fb>45200</fb>
    <v>0</v>
  </rv>
  <rv s="0">
    <fb>74.540000000000006</fb>
    <v>1</v>
  </rv>
  <rv s="0">
    <fb>0.18</fb>
    <v>1</v>
  </rv>
  <rv s="0">
    <fb>106.69</fb>
    <v>1</v>
  </rv>
  <rv s="0">
    <fb>3.81</fb>
    <v>1</v>
  </rv>
  <rv s="0">
    <fb>5.18</fb>
    <v>1</v>
  </rv>
  <rv s="0">
    <fb>96.56</fb>
    <v>1</v>
  </rv>
  <rv s="0">
    <fb>13.358599999999999</fb>
    <v>1</v>
  </rv>
  <rv s="0">
    <fb>45231</fb>
    <v>0</v>
  </rv>
  <rv s="0">
    <fb>88.41</fb>
    <v>1</v>
  </rv>
  <rv s="0">
    <fb>103.05</fb>
    <v>1</v>
  </rv>
  <rv s="0">
    <fb>4.72</fb>
    <v>1</v>
  </rv>
  <rv s="0">
    <fb>104.66</fb>
    <v>1</v>
  </rv>
  <rv s="0">
    <fb>45261</fb>
    <v>0</v>
  </rv>
  <rv s="0">
    <fb>95.83</fb>
    <v>1</v>
  </rv>
  <rv s="0">
    <fb>112.3</fb>
    <v>1</v>
  </rv>
  <rv s="0">
    <fb>0.99</fb>
    <v>1</v>
  </rv>
  <rv s="0">
    <fb>111.8</fb>
    <v>1</v>
  </rv>
  <rv s="0">
    <fb>13.8279</fb>
    <v>1</v>
  </rv>
  <rv s="0">
    <fb>45292</fb>
    <v>0</v>
  </rv>
  <rv s="0">
    <fb>101.56</fb>
    <v>1</v>
  </rv>
  <rv s="0">
    <fb>0.215</fb>
    <v>1</v>
  </rv>
  <rv s="0">
    <fb>110.79</fb>
    <v>1</v>
  </rv>
  <rv s="0">
    <fb>0.92500000000000004</fb>
    <v>1</v>
  </rv>
  <rv s="0">
    <fb>5.29</fb>
    <v>1</v>
  </rv>
  <rv s="0">
    <fb>117.53</fb>
    <v>1</v>
  </rv>
  <rv s="0">
    <fb>14.167299999999999</fb>
    <v>1</v>
  </rv>
  <rv s="0">
    <fb>45323</fb>
    <v>0</v>
  </rv>
  <rv s="0">
    <fb>103.82</fb>
    <v>1</v>
  </rv>
  <rv s="0">
    <fb>0.20499999999999999</fb>
    <v>1</v>
  </rv>
  <rv s="0">
    <fb>127.31</fb>
    <v>1</v>
  </rv>
  <rv s="0">
    <fb>1.02</fb>
    <v>1</v>
  </rv>
  <rv s="0">
    <fb>4.6900000000000004</fb>
    <v>1</v>
  </rv>
  <rv s="0">
    <fb>116.41</fb>
    <v>1</v>
  </rv>
  <rv s="0">
    <fb>15.275600000000001</fb>
    <v>1</v>
  </rv>
  <rv s="0">
    <fb>45352</fb>
    <v>0</v>
  </rv>
  <rv s="0">
    <fb>103.75</fb>
    <v>1</v>
  </rv>
  <rv s="0">
    <fb>0.31</fb>
    <v>1</v>
  </rv>
  <rv s="0">
    <fb>133.32</fb>
    <v>1</v>
  </rv>
  <rv s="0">
    <fb>0.98499999999999999</fb>
    <v>1</v>
  </rv>
  <rv s="0">
    <fb>3.86</fb>
    <v>1</v>
  </rv>
  <rv s="0">
    <fb>4.51</fb>
    <v>1</v>
  </rv>
  <rv s="0">
    <fb>120.34</fb>
    <v>1</v>
  </rv>
  <rv s="0">
    <fb>16.3538</fb>
    <v>1</v>
  </rv>
  <rv s="0">
    <fb>45383</fb>
    <v>0</v>
  </rv>
  <rv s="0">
    <fb>111.41</fb>
    <v>1</v>
  </rv>
  <rv s="0">
    <fb>0.32500000000000001</fb>
    <v>1</v>
  </rv>
  <rv s="0">
    <fb>122.08</fb>
    <v>1</v>
  </rv>
  <rv s="0">
    <fb>1.03</fb>
    <v>1</v>
  </rv>
  <rv s="0">
    <fb>3.67</fb>
    <v>1</v>
  </rv>
  <rv s="0">
    <fb>114.54</fb>
    <v>1</v>
  </rv>
  <rv s="0">
    <fb>16.593399999999999</fb>
    <v>1</v>
  </rv>
  <rv s="0">
    <fb>45413</fb>
    <v>0</v>
  </rv>
  <rv s="0">
    <fb>120.12</fb>
    <v>1</v>
  </rv>
  <rv s="0">
    <fb>135</fb>
    <v>1</v>
  </rv>
  <rv s="0">
    <fb>1.145</fb>
    <v>1</v>
  </rv>
  <rv s="0">
    <fb>3.47</fb>
    <v>1</v>
  </rv>
  <rv s="0">
    <fb>4.6500000000000004</fb>
    <v>1</v>
  </rv>
  <rv s="0">
    <fb>119.54</fb>
    <v>1</v>
  </rv>
  <rv s="0">
    <fb>15.884600000000001</fb>
    <v>1</v>
  </rv>
  <rv s="0">
    <fb>45444</fb>
    <v>0</v>
  </rv>
  <rv s="0">
    <fb>143.26</fb>
    <v>1</v>
  </rv>
  <rv s="0">
    <fb>0.44</fb>
    <v>1</v>
  </rv>
  <rv s="0">
    <fb>136.4</fb>
    <v>1</v>
  </rv>
  <rv s="0">
    <fb>1.2549999999999999</fb>
    <v>1</v>
  </rv>
  <rv s="0">
    <fb>3.62</fb>
    <v>1</v>
  </rv>
  <rv s="0">
    <fb>4.58</fb>
    <v>1</v>
  </rv>
  <rv s="0">
    <fb>127.38</fb>
    <v>1</v>
  </rv>
  <rv s="0">
    <fb>17.382200000000001</fb>
    <v>1</v>
  </rv>
  <rv s="0">
    <fb>45474</fb>
    <v>0</v>
  </rv>
  <rv s="0">
    <fb>143.76</fb>
    <v>1</v>
  </rv>
  <rv s="0">
    <fb>138.18</fb>
    <v>1</v>
  </rv>
  <rv s="0">
    <fb>1.07</fb>
    <v>1</v>
  </rv>
  <rv s="0">
    <fb>3.94</fb>
    <v>1</v>
  </rv>
  <rv s="0">
    <fb>4.75</fb>
    <v>1</v>
  </rv>
  <rv s="0">
    <fb>137.49</fb>
    <v>1</v>
  </rv>
  <rv s="0">
    <fb>17.781500000000001</fb>
    <v>1</v>
  </rv>
  <rv s="0">
    <fb>45505</fb>
    <v>0</v>
  </rv>
  <rv s="0">
    <fb>150.69999999999999</fb>
    <v>1</v>
  </rv>
  <rv s="0">
    <fb>0.41</fb>
    <v>1</v>
  </rv>
  <rv s="0">
    <fb>142.84</fb>
    <v>1</v>
  </rv>
  <rv s="0">
    <fb>0.94</fb>
    <v>1</v>
  </rv>
  <rv s="0">
    <fb>4.96</fb>
    <v>1</v>
  </rv>
  <rv s="0">
    <fb>139.5</fb>
    <v>1</v>
  </rv>
  <rv s="0">
    <fb>17.6418</fb>
    <v>1</v>
  </rv>
  <rv s="0">
    <fb>45536</fb>
    <v>0</v>
  </rv>
  <rv s="0">
    <fb>178.25</fb>
    <v>1</v>
  </rv>
  <rv s="0">
    <fb>0.44500000000000001</fb>
    <v>1</v>
  </rv>
  <rv s="0">
    <fb>149.44</fb>
    <v>1</v>
  </rv>
  <rv s="0">
    <fb>0.94499999999999995</fb>
    <v>1</v>
  </rv>
  <rv s="0">
    <fb>4.92</fb>
    <v>1</v>
  </rv>
  <rv s="0">
    <fb>135.38999999999999</fb>
    <v>1</v>
  </rv>
  <rv s="0">
    <fb>18.0611</fb>
    <v>1</v>
  </rv>
  <rv s="0">
    <fb>45566</fb>
    <v>0</v>
  </rv>
  <rv s="0">
    <fb>194.83</fb>
    <v>1</v>
  </rv>
  <rv s="0">
    <fb>0.42</fb>
    <v>1</v>
  </rv>
  <rv s="0">
    <fb>149.5</fb>
    <v>1</v>
  </rv>
  <rv s="0">
    <fb>0.95</fb>
    <v>1</v>
  </rv>
  <rv s="0">
    <fb>4.5199999999999996</fb>
    <v>1</v>
  </rv>
  <rv s="0">
    <fb>142.75</fb>
    <v>1</v>
  </rv>
  <rv s="0">
    <fb>17.891400000000001</fb>
    <v>1</v>
  </rv>
  <rv s="0">
    <fb>45597</fb>
    <v>0</v>
  </rv>
  <rv s="0">
    <fb>251.89</fb>
    <v>1</v>
  </rv>
  <rv s="0">
    <fb>0.495</fb>
    <v>1</v>
  </rv>
  <rv s="0">
    <fb>173.85</fb>
    <v>1</v>
  </rv>
  <rv s="0">
    <fb>4.5</fb>
    <v>1</v>
  </rv>
  <rv s="0">
    <fb>158.58000000000001</fb>
    <v>1</v>
  </rv>
  <rv s="0">
    <fb>19.668500000000002</fb>
    <v>1</v>
  </rv>
  <rv s="0">
    <fb>45627</fb>
    <v>0</v>
  </rv>
  <rv s="0">
    <fb>250.12</fb>
    <v>1</v>
  </rv>
  <rv s="0">
    <fb>0.48</fb>
    <v>1</v>
  </rv>
  <rv s="0">
    <fb>168.56</fb>
    <v>1</v>
  </rv>
  <rv s="0">
    <fb>1.04</fb>
    <v>1</v>
  </rv>
  <rv s="0">
    <fb>4.49</fb>
    <v>1</v>
  </rv>
  <rv s="0">
    <fb>153.25</fb>
    <v>1</v>
  </rv>
  <rv s="0">
    <fb>18.979600000000001</fb>
    <v>1</v>
  </rv>
  <rv s="0">
    <fb>45658</fb>
    <v>0</v>
  </rv>
  <rv s="0">
    <fb>278.39999999999998</fb>
    <v>1</v>
  </rv>
  <rv s="0">
    <fb>0.54500000000000004</fb>
    <v>1</v>
  </rv>
  <rv s="0">
    <fb>183.27</fb>
    <v>1</v>
  </rv>
  <rv s="0">
    <fb>3.95</fb>
    <v>1</v>
  </rv>
  <rv s="0">
    <fb>4.4000000000000004</fb>
    <v>1</v>
  </rv>
  <rv s="0">
    <fb>160.56</fb>
    <v>1</v>
  </rv>
  <rv s="0">
    <fb>20.776700000000002</fb>
    <v>1</v>
  </rv>
  <rv s="1">
    <v>2</v>
    <v>XASX:COS</v>
    <v>Monthly</v>
    <v>44197</v>
    <v>45688</v>
    <v>0</v>
    <v>1</v>
    <v>638738784000000000,638795941493348220,0</v>
    <v>0</v>
    <v>btgeur</v>
    <v>XASX:COS</v>
    <v>1</v>
  </rv>
  <rv s="1">
    <v>2</v>
    <v>XASX:TLS</v>
    <v>Monthly</v>
    <v>44197</v>
    <v>45688</v>
    <v>0</v>
    <v>1</v>
    <v>638738784000000000,638794119471567024,0</v>
    <v>0</v>
    <v>aa9vc7</v>
    <v>XASX:TLS</v>
    <v>2</v>
  </rv>
  <rv s="1">
    <v>2</v>
    <v>XASX:TPG</v>
    <v>Monthly</v>
    <v>44197</v>
    <v>45688</v>
    <v>0</v>
    <v>1</v>
    <v>638738784000000000,638795274593162547,0</v>
    <v>0</v>
    <v>bv12cw</v>
    <v>XASX:TPG</v>
    <v>3</v>
  </rv>
  <rv s="1">
    <v>2</v>
    <v>XASX:CBA</v>
    <v>Monthly</v>
    <v>44197</v>
    <v>45688</v>
    <v>0</v>
    <v>1</v>
    <v>638738784000000000,638794119471995307,0</v>
    <v>0</v>
    <v>aa5cec</v>
    <v>XASX:CBA</v>
    <v>4</v>
  </rv>
  <rv s="1">
    <v>2</v>
    <v>XASX:XRO</v>
    <v>Monthly</v>
    <v>44197</v>
    <v>45688</v>
    <v>0</v>
    <v>1</v>
    <v>638738784000000000,638794119470277821,0</v>
    <v>0</v>
    <v>aaaq7w</v>
    <v>XASX:XRO</v>
    <v>5</v>
  </rv>
  <rv s="1">
    <v>2</v>
    <v>XASX:PGC</v>
    <v>Monthly</v>
    <v>44197</v>
    <v>45688</v>
    <v>0</v>
    <v>1</v>
    <v>638738784000000000,638795272306701811,0</v>
    <v>0</v>
    <v>aa8jyc</v>
    <v>XASX:PGC</v>
    <v>6</v>
  </rv>
  <rv s="1">
    <v>2</v>
    <v>XASX:PME</v>
    <v>Monthly</v>
    <v>44197</v>
    <v>45688</v>
    <v>0</v>
    <v>1</v>
    <v>638738784000000000,638794119469386201,0</v>
    <v>0</v>
    <v>aa8m6h</v>
    <v>XASX:PME</v>
    <v>7</v>
  </rv>
  <rv s="1">
    <v>2</v>
    <v>XASX:SUN</v>
    <v>Monthly</v>
    <v>44197</v>
    <v>45688</v>
    <v>0</v>
    <v>1</v>
    <v>638738784000000000,638795275238176800,0</v>
    <v>0</v>
    <v>aa9nnm</v>
    <v>XASX:SUN</v>
    <v>8</v>
  </rv>
</rvData>
</file>

<file path=xl/richData/rdrichvaluestructure.xml><?xml version="1.0" encoding="utf-8"?>
<rvStructures xmlns="http://schemas.microsoft.com/office/spreadsheetml/2017/richdata" count="2">
  <s t="_formattednumber">
    <k n="_Format" t="spb"/>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Data count="3">
    <spb s="0">
      <v>1</v>
    </spb>
    <spb s="0">
      <v>2</v>
    </spb>
    <spb s="1">
      <v>1</v>
      <v>2</v>
    </spb>
  </spbData>
</supportingPropertyBags>
</file>

<file path=xl/richData/rdsupportingpropertybagstructure.xml><?xml version="1.0" encoding="utf-8"?>
<spbStructures xmlns="http://schemas.microsoft.com/office/spreadsheetml/2017/richdata2" count="2">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19" formatCode="dd/mm/yy"/>
    </x:dxf>
    <x:dxf>
      <x:numFmt numFmtId="0" formatCode="General"/>
    </x:dxf>
  </dxfs>
  <richProperties>
    <rPr n="NumberFormat" t="s"/>
  </richProperties>
  <richStyles>
    <rSty dxfid="0"/>
    <rSty dxfid="1">
      <rpv i="0">_([$$-en-AU]* #,##0.00_);_([$$-en-AU]* (#,##0.00);_([$$-en-AU]* "-"??_);_(@_)</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6B192-3A79-C44A-8D43-7E7B838DA9B9}">
  <dimension ref="A1:Q35"/>
  <sheetViews>
    <sheetView zoomScale="50" workbookViewId="0">
      <selection activeCell="N40" sqref="N40"/>
    </sheetView>
  </sheetViews>
  <sheetFormatPr baseColWidth="10" defaultRowHeight="15" x14ac:dyDescent="0.2"/>
  <sheetData>
    <row r="1" spans="1:17" ht="26" customHeight="1" x14ac:dyDescent="0.2">
      <c r="A1" s="233" t="s">
        <v>254</v>
      </c>
      <c r="B1" s="234"/>
      <c r="C1" s="234"/>
      <c r="D1" s="234"/>
      <c r="E1" s="234"/>
      <c r="F1" s="234"/>
      <c r="G1" s="234"/>
      <c r="H1" s="234"/>
      <c r="I1" s="234"/>
      <c r="J1" s="234"/>
      <c r="K1" s="234"/>
      <c r="L1" s="234"/>
      <c r="M1" s="234"/>
      <c r="N1" s="234"/>
      <c r="O1" s="234"/>
      <c r="P1" s="234"/>
      <c r="Q1" s="234"/>
    </row>
    <row r="2" spans="1:17" x14ac:dyDescent="0.2">
      <c r="A2" s="234"/>
      <c r="B2" s="234"/>
      <c r="C2" s="234"/>
      <c r="D2" s="234"/>
      <c r="E2" s="234"/>
      <c r="F2" s="234"/>
      <c r="G2" s="234"/>
      <c r="H2" s="234"/>
      <c r="I2" s="234"/>
      <c r="J2" s="234"/>
      <c r="K2" s="234"/>
      <c r="L2" s="234"/>
      <c r="M2" s="234"/>
      <c r="N2" s="234"/>
      <c r="O2" s="234"/>
      <c r="P2" s="234"/>
      <c r="Q2" s="234"/>
    </row>
    <row r="3" spans="1:17" x14ac:dyDescent="0.2">
      <c r="A3" s="234"/>
      <c r="B3" s="234"/>
      <c r="C3" s="234"/>
      <c r="D3" s="234"/>
      <c r="E3" s="234"/>
      <c r="F3" s="234"/>
      <c r="G3" s="234"/>
      <c r="H3" s="234"/>
      <c r="I3" s="234"/>
      <c r="J3" s="234"/>
      <c r="K3" s="234"/>
      <c r="L3" s="234"/>
      <c r="M3" s="234"/>
      <c r="N3" s="234"/>
      <c r="O3" s="234"/>
      <c r="P3" s="234"/>
      <c r="Q3" s="234"/>
    </row>
    <row r="4" spans="1:17" x14ac:dyDescent="0.2">
      <c r="A4" s="234"/>
      <c r="B4" s="234"/>
      <c r="C4" s="234"/>
      <c r="D4" s="234"/>
      <c r="E4" s="234"/>
      <c r="F4" s="234"/>
      <c r="G4" s="234"/>
      <c r="H4" s="234"/>
      <c r="I4" s="234"/>
      <c r="J4" s="234"/>
      <c r="K4" s="234"/>
      <c r="L4" s="234"/>
      <c r="M4" s="234"/>
      <c r="N4" s="234"/>
      <c r="O4" s="234"/>
      <c r="P4" s="234"/>
      <c r="Q4" s="234"/>
    </row>
    <row r="5" spans="1:17" x14ac:dyDescent="0.2">
      <c r="A5" s="234"/>
      <c r="B5" s="234"/>
      <c r="C5" s="234"/>
      <c r="D5" s="234"/>
      <c r="E5" s="234"/>
      <c r="F5" s="234"/>
      <c r="G5" s="234"/>
      <c r="H5" s="234"/>
      <c r="I5" s="234"/>
      <c r="J5" s="234"/>
      <c r="K5" s="234"/>
      <c r="L5" s="234"/>
      <c r="M5" s="234"/>
      <c r="N5" s="234"/>
      <c r="O5" s="234"/>
      <c r="P5" s="234"/>
      <c r="Q5" s="234"/>
    </row>
    <row r="6" spans="1:17" x14ac:dyDescent="0.2">
      <c r="A6" s="234"/>
      <c r="B6" s="234"/>
      <c r="C6" s="234"/>
      <c r="D6" s="234"/>
      <c r="E6" s="234"/>
      <c r="F6" s="234"/>
      <c r="G6" s="234"/>
      <c r="H6" s="234"/>
      <c r="I6" s="234"/>
      <c r="J6" s="234"/>
      <c r="K6" s="234"/>
      <c r="L6" s="234"/>
      <c r="M6" s="234"/>
      <c r="N6" s="234"/>
      <c r="O6" s="234"/>
      <c r="P6" s="234"/>
      <c r="Q6" s="234"/>
    </row>
    <row r="7" spans="1:17" x14ac:dyDescent="0.2">
      <c r="A7" s="234"/>
      <c r="B7" s="234"/>
      <c r="C7" s="234"/>
      <c r="D7" s="234"/>
      <c r="E7" s="234"/>
      <c r="F7" s="234"/>
      <c r="G7" s="234"/>
      <c r="H7" s="234"/>
      <c r="I7" s="234"/>
      <c r="J7" s="234"/>
      <c r="K7" s="234"/>
      <c r="L7" s="234"/>
      <c r="M7" s="234"/>
      <c r="N7" s="234"/>
      <c r="O7" s="234"/>
      <c r="P7" s="234"/>
      <c r="Q7" s="234"/>
    </row>
    <row r="8" spans="1:17" x14ac:dyDescent="0.2">
      <c r="A8" s="234"/>
      <c r="B8" s="234"/>
      <c r="C8" s="234"/>
      <c r="D8" s="234"/>
      <c r="E8" s="234"/>
      <c r="F8" s="234"/>
      <c r="G8" s="234"/>
      <c r="H8" s="234"/>
      <c r="I8" s="234"/>
      <c r="J8" s="234"/>
      <c r="K8" s="234"/>
      <c r="L8" s="234"/>
      <c r="M8" s="234"/>
      <c r="N8" s="234"/>
      <c r="O8" s="234"/>
      <c r="P8" s="234"/>
      <c r="Q8" s="234"/>
    </row>
    <row r="9" spans="1:17" x14ac:dyDescent="0.2">
      <c r="A9" s="234"/>
      <c r="B9" s="234"/>
      <c r="C9" s="234"/>
      <c r="D9" s="234"/>
      <c r="E9" s="234"/>
      <c r="F9" s="234"/>
      <c r="G9" s="234"/>
      <c r="H9" s="234"/>
      <c r="I9" s="234"/>
      <c r="J9" s="234"/>
      <c r="K9" s="234"/>
      <c r="L9" s="234"/>
      <c r="M9" s="234"/>
      <c r="N9" s="234"/>
      <c r="O9" s="234"/>
      <c r="P9" s="234"/>
      <c r="Q9" s="234"/>
    </row>
    <row r="10" spans="1:17" x14ac:dyDescent="0.2">
      <c r="A10" s="234"/>
      <c r="B10" s="234"/>
      <c r="C10" s="234"/>
      <c r="D10" s="234"/>
      <c r="E10" s="234"/>
      <c r="F10" s="234"/>
      <c r="G10" s="234"/>
      <c r="H10" s="234"/>
      <c r="I10" s="234"/>
      <c r="J10" s="234"/>
      <c r="K10" s="234"/>
      <c r="L10" s="234"/>
      <c r="M10" s="234"/>
      <c r="N10" s="234"/>
      <c r="O10" s="234"/>
      <c r="P10" s="234"/>
      <c r="Q10" s="234"/>
    </row>
    <row r="11" spans="1:17" x14ac:dyDescent="0.2">
      <c r="A11" s="234"/>
      <c r="B11" s="234"/>
      <c r="C11" s="234"/>
      <c r="D11" s="234"/>
      <c r="E11" s="234"/>
      <c r="F11" s="234"/>
      <c r="G11" s="234"/>
      <c r="H11" s="234"/>
      <c r="I11" s="234"/>
      <c r="J11" s="234"/>
      <c r="K11" s="234"/>
      <c r="L11" s="234"/>
      <c r="M11" s="234"/>
      <c r="N11" s="234"/>
      <c r="O11" s="234"/>
      <c r="P11" s="234"/>
      <c r="Q11" s="234"/>
    </row>
    <row r="12" spans="1:17" x14ac:dyDescent="0.2">
      <c r="A12" s="234"/>
      <c r="B12" s="234"/>
      <c r="C12" s="234"/>
      <c r="D12" s="234"/>
      <c r="E12" s="234"/>
      <c r="F12" s="234"/>
      <c r="G12" s="234"/>
      <c r="H12" s="234"/>
      <c r="I12" s="234"/>
      <c r="J12" s="234"/>
      <c r="K12" s="234"/>
      <c r="L12" s="234"/>
      <c r="M12" s="234"/>
      <c r="N12" s="234"/>
      <c r="O12" s="234"/>
      <c r="P12" s="234"/>
      <c r="Q12" s="234"/>
    </row>
    <row r="13" spans="1:17" x14ac:dyDescent="0.2">
      <c r="A13" s="234"/>
      <c r="B13" s="234"/>
      <c r="C13" s="234"/>
      <c r="D13" s="234"/>
      <c r="E13" s="234"/>
      <c r="F13" s="234"/>
      <c r="G13" s="234"/>
      <c r="H13" s="234"/>
      <c r="I13" s="234"/>
      <c r="J13" s="234"/>
      <c r="K13" s="234"/>
      <c r="L13" s="234"/>
      <c r="M13" s="234"/>
      <c r="N13" s="234"/>
      <c r="O13" s="234"/>
      <c r="P13" s="234"/>
      <c r="Q13" s="234"/>
    </row>
    <row r="14" spans="1:17" x14ac:dyDescent="0.2">
      <c r="A14" s="234"/>
      <c r="B14" s="234"/>
      <c r="C14" s="234"/>
      <c r="D14" s="234"/>
      <c r="E14" s="234"/>
      <c r="F14" s="234"/>
      <c r="G14" s="234"/>
      <c r="H14" s="234"/>
      <c r="I14" s="234"/>
      <c r="J14" s="234"/>
      <c r="K14" s="234"/>
      <c r="L14" s="234"/>
      <c r="M14" s="234"/>
      <c r="N14" s="234"/>
      <c r="O14" s="234"/>
      <c r="P14" s="234"/>
      <c r="Q14" s="234"/>
    </row>
    <row r="15" spans="1:17" x14ac:dyDescent="0.2">
      <c r="A15" s="234"/>
      <c r="B15" s="234"/>
      <c r="C15" s="234"/>
      <c r="D15" s="234"/>
      <c r="E15" s="234"/>
      <c r="F15" s="234"/>
      <c r="G15" s="234"/>
      <c r="H15" s="234"/>
      <c r="I15" s="234"/>
      <c r="J15" s="234"/>
      <c r="K15" s="234"/>
      <c r="L15" s="234"/>
      <c r="M15" s="234"/>
      <c r="N15" s="234"/>
      <c r="O15" s="234"/>
      <c r="P15" s="234"/>
      <c r="Q15" s="234"/>
    </row>
    <row r="16" spans="1:17" x14ac:dyDescent="0.2">
      <c r="A16" s="234"/>
      <c r="B16" s="234"/>
      <c r="C16" s="234"/>
      <c r="D16" s="234"/>
      <c r="E16" s="234"/>
      <c r="F16" s="234"/>
      <c r="G16" s="234"/>
      <c r="H16" s="234"/>
      <c r="I16" s="234"/>
      <c r="J16" s="234"/>
      <c r="K16" s="234"/>
      <c r="L16" s="234"/>
      <c r="M16" s="234"/>
      <c r="N16" s="234"/>
      <c r="O16" s="234"/>
      <c r="P16" s="234"/>
      <c r="Q16" s="234"/>
    </row>
    <row r="17" spans="1:17" x14ac:dyDescent="0.2">
      <c r="A17" s="234"/>
      <c r="B17" s="234"/>
      <c r="C17" s="234"/>
      <c r="D17" s="234"/>
      <c r="E17" s="234"/>
      <c r="F17" s="234"/>
      <c r="G17" s="234"/>
      <c r="H17" s="234"/>
      <c r="I17" s="234"/>
      <c r="J17" s="234"/>
      <c r="K17" s="234"/>
      <c r="L17" s="234"/>
      <c r="M17" s="234"/>
      <c r="N17" s="234"/>
      <c r="O17" s="234"/>
      <c r="P17" s="234"/>
      <c r="Q17" s="234"/>
    </row>
    <row r="18" spans="1:17" x14ac:dyDescent="0.2">
      <c r="A18" s="234"/>
      <c r="B18" s="234"/>
      <c r="C18" s="234"/>
      <c r="D18" s="234"/>
      <c r="E18" s="234"/>
      <c r="F18" s="234"/>
      <c r="G18" s="234"/>
      <c r="H18" s="234"/>
      <c r="I18" s="234"/>
      <c r="J18" s="234"/>
      <c r="K18" s="234"/>
      <c r="L18" s="234"/>
      <c r="M18" s="234"/>
      <c r="N18" s="234"/>
      <c r="O18" s="234"/>
      <c r="P18" s="234"/>
      <c r="Q18" s="234"/>
    </row>
    <row r="19" spans="1:17" x14ac:dyDescent="0.2">
      <c r="A19" s="234"/>
      <c r="B19" s="234"/>
      <c r="C19" s="234"/>
      <c r="D19" s="234"/>
      <c r="E19" s="234"/>
      <c r="F19" s="234"/>
      <c r="G19" s="234"/>
      <c r="H19" s="234"/>
      <c r="I19" s="234"/>
      <c r="J19" s="234"/>
      <c r="K19" s="234"/>
      <c r="L19" s="234"/>
      <c r="M19" s="234"/>
      <c r="N19" s="234"/>
      <c r="O19" s="234"/>
      <c r="P19" s="234"/>
      <c r="Q19" s="234"/>
    </row>
    <row r="20" spans="1:17" x14ac:dyDescent="0.2">
      <c r="A20" s="234"/>
      <c r="B20" s="234"/>
      <c r="C20" s="234"/>
      <c r="D20" s="234"/>
      <c r="E20" s="234"/>
      <c r="F20" s="234"/>
      <c r="G20" s="234"/>
      <c r="H20" s="234"/>
      <c r="I20" s="234"/>
      <c r="J20" s="234"/>
      <c r="K20" s="234"/>
      <c r="L20" s="234"/>
      <c r="M20" s="234"/>
      <c r="N20" s="234"/>
      <c r="O20" s="234"/>
      <c r="P20" s="234"/>
      <c r="Q20" s="234"/>
    </row>
    <row r="21" spans="1:17" x14ac:dyDescent="0.2">
      <c r="A21" s="234"/>
      <c r="B21" s="234"/>
      <c r="C21" s="234"/>
      <c r="D21" s="234"/>
      <c r="E21" s="234"/>
      <c r="F21" s="234"/>
      <c r="G21" s="234"/>
      <c r="H21" s="234"/>
      <c r="I21" s="234"/>
      <c r="J21" s="234"/>
      <c r="K21" s="234"/>
      <c r="L21" s="234"/>
      <c r="M21" s="234"/>
      <c r="N21" s="234"/>
      <c r="O21" s="234"/>
      <c r="P21" s="234"/>
      <c r="Q21" s="234"/>
    </row>
    <row r="22" spans="1:17" x14ac:dyDescent="0.2">
      <c r="A22" s="234"/>
      <c r="B22" s="234"/>
      <c r="C22" s="234"/>
      <c r="D22" s="234"/>
      <c r="E22" s="234"/>
      <c r="F22" s="234"/>
      <c r="G22" s="234"/>
      <c r="H22" s="234"/>
      <c r="I22" s="234"/>
      <c r="J22" s="234"/>
      <c r="K22" s="234"/>
      <c r="L22" s="234"/>
      <c r="M22" s="234"/>
      <c r="N22" s="234"/>
      <c r="O22" s="234"/>
      <c r="P22" s="234"/>
      <c r="Q22" s="234"/>
    </row>
    <row r="23" spans="1:17" x14ac:dyDescent="0.2">
      <c r="A23" s="234"/>
      <c r="B23" s="234"/>
      <c r="C23" s="234"/>
      <c r="D23" s="234"/>
      <c r="E23" s="234"/>
      <c r="F23" s="234"/>
      <c r="G23" s="234"/>
      <c r="H23" s="234"/>
      <c r="I23" s="234"/>
      <c r="J23" s="234"/>
      <c r="K23" s="234"/>
      <c r="L23" s="234"/>
      <c r="M23" s="234"/>
      <c r="N23" s="234"/>
      <c r="O23" s="234"/>
      <c r="P23" s="234"/>
      <c r="Q23" s="234"/>
    </row>
    <row r="24" spans="1:17" x14ac:dyDescent="0.2">
      <c r="A24" s="234"/>
      <c r="B24" s="234"/>
      <c r="C24" s="234"/>
      <c r="D24" s="234"/>
      <c r="E24" s="234"/>
      <c r="F24" s="234"/>
      <c r="G24" s="234"/>
      <c r="H24" s="234"/>
      <c r="I24" s="234"/>
      <c r="J24" s="234"/>
      <c r="K24" s="234"/>
      <c r="L24" s="234"/>
      <c r="M24" s="234"/>
      <c r="N24" s="234"/>
      <c r="O24" s="234"/>
      <c r="P24" s="234"/>
      <c r="Q24" s="234"/>
    </row>
    <row r="25" spans="1:17" x14ac:dyDescent="0.2">
      <c r="A25" s="234"/>
      <c r="B25" s="234"/>
      <c r="C25" s="234"/>
      <c r="D25" s="234"/>
      <c r="E25" s="234"/>
      <c r="F25" s="234"/>
      <c r="G25" s="234"/>
      <c r="H25" s="234"/>
      <c r="I25" s="234"/>
      <c r="J25" s="234"/>
      <c r="K25" s="234"/>
      <c r="L25" s="234"/>
      <c r="M25" s="234"/>
      <c r="N25" s="234"/>
      <c r="O25" s="234"/>
      <c r="P25" s="234"/>
      <c r="Q25" s="234"/>
    </row>
    <row r="26" spans="1:17" x14ac:dyDescent="0.2">
      <c r="A26" s="234"/>
      <c r="B26" s="234"/>
      <c r="C26" s="234"/>
      <c r="D26" s="234"/>
      <c r="E26" s="234"/>
      <c r="F26" s="234"/>
      <c r="G26" s="234"/>
      <c r="H26" s="234"/>
      <c r="I26" s="234"/>
      <c r="J26" s="234"/>
      <c r="K26" s="234"/>
      <c r="L26" s="234"/>
      <c r="M26" s="234"/>
      <c r="N26" s="234"/>
      <c r="O26" s="234"/>
      <c r="P26" s="234"/>
      <c r="Q26" s="234"/>
    </row>
    <row r="27" spans="1:17" x14ac:dyDescent="0.2">
      <c r="A27" s="234"/>
      <c r="B27" s="234"/>
      <c r="C27" s="234"/>
      <c r="D27" s="234"/>
      <c r="E27" s="234"/>
      <c r="F27" s="234"/>
      <c r="G27" s="234"/>
      <c r="H27" s="234"/>
      <c r="I27" s="234"/>
      <c r="J27" s="234"/>
      <c r="K27" s="234"/>
      <c r="L27" s="234"/>
      <c r="M27" s="234"/>
      <c r="N27" s="234"/>
      <c r="O27" s="234"/>
      <c r="P27" s="234"/>
      <c r="Q27" s="234"/>
    </row>
    <row r="28" spans="1:17" x14ac:dyDescent="0.2">
      <c r="A28" s="234"/>
      <c r="B28" s="234"/>
      <c r="C28" s="234"/>
      <c r="D28" s="234"/>
      <c r="E28" s="234"/>
      <c r="F28" s="234"/>
      <c r="G28" s="234"/>
      <c r="H28" s="234"/>
      <c r="I28" s="234"/>
      <c r="J28" s="234"/>
      <c r="K28" s="234"/>
      <c r="L28" s="234"/>
      <c r="M28" s="234"/>
      <c r="N28" s="234"/>
      <c r="O28" s="234"/>
      <c r="P28" s="234"/>
      <c r="Q28" s="234"/>
    </row>
    <row r="29" spans="1:17" x14ac:dyDescent="0.2">
      <c r="A29" s="234"/>
      <c r="B29" s="234"/>
      <c r="C29" s="234"/>
      <c r="D29" s="234"/>
      <c r="E29" s="234"/>
      <c r="F29" s="234"/>
      <c r="G29" s="234"/>
      <c r="H29" s="234"/>
      <c r="I29" s="234"/>
      <c r="J29" s="234"/>
      <c r="K29" s="234"/>
      <c r="L29" s="234"/>
      <c r="M29" s="234"/>
      <c r="N29" s="234"/>
      <c r="O29" s="234"/>
      <c r="P29" s="234"/>
      <c r="Q29" s="234"/>
    </row>
    <row r="30" spans="1:17" x14ac:dyDescent="0.2">
      <c r="A30" s="234"/>
      <c r="B30" s="234"/>
      <c r="C30" s="234"/>
      <c r="D30" s="234"/>
      <c r="E30" s="234"/>
      <c r="F30" s="234"/>
      <c r="G30" s="234"/>
      <c r="H30" s="234"/>
      <c r="I30" s="234"/>
      <c r="J30" s="234"/>
      <c r="K30" s="234"/>
      <c r="L30" s="234"/>
      <c r="M30" s="234"/>
      <c r="N30" s="234"/>
      <c r="O30" s="234"/>
      <c r="P30" s="234"/>
      <c r="Q30" s="234"/>
    </row>
    <row r="31" spans="1:17" x14ac:dyDescent="0.2">
      <c r="A31" s="234"/>
      <c r="B31" s="234"/>
      <c r="C31" s="234"/>
      <c r="D31" s="234"/>
      <c r="E31" s="234"/>
      <c r="F31" s="234"/>
      <c r="G31" s="234"/>
      <c r="H31" s="234"/>
      <c r="I31" s="234"/>
      <c r="J31" s="234"/>
      <c r="K31" s="234"/>
      <c r="L31" s="234"/>
      <c r="M31" s="234"/>
      <c r="N31" s="234"/>
      <c r="O31" s="234"/>
      <c r="P31" s="234"/>
      <c r="Q31" s="234"/>
    </row>
    <row r="32" spans="1:17" x14ac:dyDescent="0.2">
      <c r="A32" s="234"/>
      <c r="B32" s="234"/>
      <c r="C32" s="234"/>
      <c r="D32" s="234"/>
      <c r="E32" s="234"/>
      <c r="F32" s="234"/>
      <c r="G32" s="234"/>
      <c r="H32" s="234"/>
      <c r="I32" s="234"/>
      <c r="J32" s="234"/>
      <c r="K32" s="234"/>
      <c r="L32" s="234"/>
      <c r="M32" s="234"/>
      <c r="N32" s="234"/>
      <c r="O32" s="234"/>
      <c r="P32" s="234"/>
      <c r="Q32" s="234"/>
    </row>
    <row r="33" spans="1:17" x14ac:dyDescent="0.2">
      <c r="A33" s="234"/>
      <c r="B33" s="234"/>
      <c r="C33" s="234"/>
      <c r="D33" s="234"/>
      <c r="E33" s="234"/>
      <c r="F33" s="234"/>
      <c r="G33" s="234"/>
      <c r="H33" s="234"/>
      <c r="I33" s="234"/>
      <c r="J33" s="234"/>
      <c r="K33" s="234"/>
      <c r="L33" s="234"/>
      <c r="M33" s="234"/>
      <c r="N33" s="234"/>
      <c r="O33" s="234"/>
      <c r="P33" s="234"/>
      <c r="Q33" s="234"/>
    </row>
    <row r="34" spans="1:17" x14ac:dyDescent="0.2">
      <c r="A34" s="234"/>
      <c r="B34" s="234"/>
      <c r="C34" s="234"/>
      <c r="D34" s="234"/>
      <c r="E34" s="234"/>
      <c r="F34" s="234"/>
      <c r="G34" s="234"/>
      <c r="H34" s="234"/>
      <c r="I34" s="234"/>
      <c r="J34" s="234"/>
      <c r="K34" s="234"/>
      <c r="L34" s="234"/>
      <c r="M34" s="234"/>
      <c r="N34" s="234"/>
      <c r="O34" s="234"/>
      <c r="P34" s="234"/>
      <c r="Q34" s="234"/>
    </row>
    <row r="35" spans="1:17" x14ac:dyDescent="0.2">
      <c r="A35" s="234"/>
      <c r="B35" s="234"/>
      <c r="C35" s="234"/>
      <c r="D35" s="234"/>
      <c r="E35" s="234"/>
      <c r="F35" s="234"/>
      <c r="G35" s="234"/>
      <c r="H35" s="234"/>
      <c r="I35" s="234"/>
      <c r="J35" s="234"/>
      <c r="K35" s="234"/>
      <c r="L35" s="234"/>
      <c r="M35" s="234"/>
      <c r="N35" s="234"/>
      <c r="O35" s="234"/>
      <c r="P35" s="234"/>
      <c r="Q35" s="234"/>
    </row>
  </sheetData>
  <mergeCells count="1">
    <mergeCell ref="A1:Q3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189CE-5790-4F42-991A-178A2091CDD5}">
  <sheetPr>
    <tabColor rgb="FF00B0F0"/>
  </sheetPr>
  <dimension ref="A2:AO56"/>
  <sheetViews>
    <sheetView topLeftCell="AF1" zoomScale="75" zoomScaleNormal="87" workbookViewId="0">
      <selection activeCell="AI20" sqref="AI20"/>
    </sheetView>
  </sheetViews>
  <sheetFormatPr baseColWidth="10" defaultColWidth="8.83203125" defaultRowHeight="15" x14ac:dyDescent="0.2"/>
  <cols>
    <col min="2" max="2" width="14.83203125" customWidth="1"/>
    <col min="3" max="3" width="12.1640625" customWidth="1"/>
    <col min="4" max="4" width="13.1640625" style="5" customWidth="1"/>
    <col min="5" max="5" width="2.1640625" style="14" customWidth="1"/>
    <col min="6" max="6" width="11.5" style="14" customWidth="1"/>
    <col min="7" max="7" width="9.1640625" style="14" customWidth="1"/>
    <col min="8" max="8" width="12.6640625" style="14" customWidth="1"/>
    <col min="9" max="9" width="1.83203125" style="14" customWidth="1"/>
    <col min="10" max="10" width="12.5" style="14" customWidth="1"/>
    <col min="11" max="11" width="11" style="14" customWidth="1"/>
    <col min="12" max="12" width="10.6640625" style="14" customWidth="1"/>
    <col min="13" max="13" width="2.1640625" style="14" customWidth="1"/>
    <col min="14" max="14" width="11.5" style="14" customWidth="1"/>
    <col min="17" max="17" width="2.5" customWidth="1"/>
    <col min="18" max="18" width="12.33203125" customWidth="1"/>
    <col min="20" max="20" width="9.83203125" customWidth="1"/>
    <col min="21" max="21" width="2.1640625" style="14" customWidth="1"/>
    <col min="22" max="22" width="11.5" style="14" customWidth="1"/>
    <col min="23" max="24" width="9.1640625" style="14" customWidth="1"/>
    <col min="25" max="25" width="1.83203125" style="14" customWidth="1"/>
    <col min="26" max="26" width="12.5" style="14" customWidth="1"/>
    <col min="27" max="27" width="11.83203125" style="14" customWidth="1"/>
    <col min="28" max="28" width="10.6640625" style="14" customWidth="1"/>
    <col min="29" max="29" width="2.1640625" style="14" customWidth="1"/>
    <col min="30" max="30" width="11.5" style="14" customWidth="1"/>
    <col min="31" max="31" width="10.6640625" customWidth="1"/>
    <col min="32" max="32" width="13.5" customWidth="1"/>
    <col min="33" max="33" width="2.5" customWidth="1"/>
    <col min="34" max="34" width="9.1640625" bestFit="1" customWidth="1"/>
    <col min="35" max="35" width="71.5" customWidth="1"/>
    <col min="37" max="37" width="28.1640625" customWidth="1"/>
    <col min="38" max="38" width="33.83203125" customWidth="1"/>
    <col min="39" max="39" width="25.1640625" customWidth="1"/>
    <col min="40" max="40" width="24.33203125" customWidth="1"/>
    <col min="41" max="41" width="12.33203125" customWidth="1"/>
  </cols>
  <sheetData>
    <row r="2" spans="1:41" x14ac:dyDescent="0.2">
      <c r="B2" t="s">
        <v>57</v>
      </c>
    </row>
    <row r="3" spans="1:41" ht="16" x14ac:dyDescent="0.2">
      <c r="B3" t="s">
        <v>58</v>
      </c>
      <c r="C3" s="86"/>
      <c r="D3" s="87"/>
      <c r="E3" s="88" t="s">
        <v>9</v>
      </c>
      <c r="F3" s="88"/>
      <c r="G3" s="88"/>
      <c r="H3" s="88"/>
      <c r="J3" s="84"/>
      <c r="K3" s="84"/>
      <c r="L3" s="84"/>
      <c r="M3" s="84" t="s">
        <v>10</v>
      </c>
      <c r="N3" s="84"/>
      <c r="O3" s="85"/>
      <c r="P3" s="85"/>
      <c r="R3" s="80"/>
      <c r="S3" s="80"/>
      <c r="T3" s="80"/>
      <c r="U3" s="81" t="s">
        <v>21</v>
      </c>
      <c r="V3" s="81"/>
      <c r="W3" s="81"/>
      <c r="X3" s="81"/>
      <c r="Z3" s="82"/>
      <c r="AA3" s="82"/>
      <c r="AB3" s="82"/>
      <c r="AC3" s="82" t="s">
        <v>19</v>
      </c>
      <c r="AD3" s="82"/>
      <c r="AE3" s="83"/>
      <c r="AF3" s="83"/>
    </row>
    <row r="4" spans="1:41" ht="27.5" customHeight="1" x14ac:dyDescent="0.2">
      <c r="B4" s="239" t="s">
        <v>59</v>
      </c>
      <c r="C4" s="239"/>
      <c r="D4" s="239"/>
      <c r="E4" s="17"/>
      <c r="F4" s="240" t="s">
        <v>164</v>
      </c>
      <c r="G4" s="240"/>
      <c r="H4" s="240"/>
      <c r="I4" s="21"/>
      <c r="J4" s="241" t="s">
        <v>165</v>
      </c>
      <c r="K4" s="241"/>
      <c r="L4" s="241"/>
      <c r="M4" s="17"/>
      <c r="N4" s="235" t="s">
        <v>196</v>
      </c>
      <c r="O4" s="235"/>
      <c r="P4" s="235"/>
      <c r="Q4" s="17"/>
      <c r="R4" s="241" t="s">
        <v>166</v>
      </c>
      <c r="S4" s="241"/>
      <c r="T4" s="241"/>
      <c r="U4" s="17"/>
      <c r="V4" s="235" t="s">
        <v>167</v>
      </c>
      <c r="W4" s="235"/>
      <c r="X4" s="235"/>
      <c r="Y4" s="21"/>
      <c r="Z4" s="236" t="s">
        <v>78</v>
      </c>
      <c r="AA4" s="236"/>
      <c r="AB4" s="236"/>
      <c r="AC4" s="17"/>
      <c r="AD4" s="237" t="s">
        <v>172</v>
      </c>
      <c r="AE4" s="237"/>
      <c r="AF4" s="237"/>
      <c r="AG4" s="17"/>
    </row>
    <row r="5" spans="1:41" ht="68" x14ac:dyDescent="0.2">
      <c r="B5" s="77" t="str" cm="1">
        <f t="array" aca="1" ref="B5:C54" ca="1">_xlfn.STOCKHISTORY("XASX:PME","01-01-2021","01-01-2025",2,1,0,1)</f>
        <v>Date</v>
      </c>
      <c r="C5" s="78" t="str">
        <f ca="1"/>
        <v>Close</v>
      </c>
      <c r="D5" s="76" t="s">
        <v>20</v>
      </c>
      <c r="E5" s="18"/>
      <c r="F5" s="6" t="str" cm="1">
        <f t="array" aca="1" ref="F5:G54" ca="1">_xlfn.STOCKHISTORY("XASX:PGC","01-01-2021","01-01-2025",2,1,0,1)</f>
        <v>Date</v>
      </c>
      <c r="G5" t="str">
        <f ca="1"/>
        <v>Close</v>
      </c>
      <c r="H5" s="76" t="s">
        <v>20</v>
      </c>
      <c r="I5" s="18"/>
      <c r="J5" s="6" t="str" cm="1">
        <f t="array" aca="1" ref="J5:K54" ca="1">_xlfn.STOCKHISTORY("XASX:XRO","01-01-2021","01-01-2025",2,1,0,1)</f>
        <v>Date</v>
      </c>
      <c r="K5" t="str">
        <f ca="1"/>
        <v>Close</v>
      </c>
      <c r="L5" s="76" t="s">
        <v>20</v>
      </c>
      <c r="M5" s="18"/>
      <c r="N5" s="6" t="str" cm="1">
        <f t="array" aca="1" ref="N5:O54" ca="1">_xlfn.STOCKHISTORY("XASX:COS","01-01-2021","01-01-2025",2,1,0,1)</f>
        <v>Date</v>
      </c>
      <c r="O5" t="str">
        <f ca="1"/>
        <v>Close</v>
      </c>
      <c r="P5" s="76" t="s">
        <v>20</v>
      </c>
      <c r="Q5" s="18"/>
      <c r="R5" s="6" t="str" cm="1">
        <f t="array" aca="1" ref="R5:S54" ca="1">_xlfn.STOCKHISTORY("XASX:TLS","01-01-2021","01-01-2025",2,1,0,1)</f>
        <v>Date</v>
      </c>
      <c r="S5" t="str">
        <f ca="1"/>
        <v>Close</v>
      </c>
      <c r="T5" s="76" t="s">
        <v>20</v>
      </c>
      <c r="U5" s="18"/>
      <c r="V5" s="6" t="str" cm="1">
        <f t="array" aca="1" ref="V5:W54" ca="1">_xlfn.STOCKHISTORY("XASX:TPG","01-01-2021","01-01-2025",2,1,0,1)</f>
        <v>Date</v>
      </c>
      <c r="W5" t="str">
        <f ca="1"/>
        <v>Close</v>
      </c>
      <c r="X5" s="76" t="s">
        <v>20</v>
      </c>
      <c r="Y5" s="18"/>
      <c r="Z5" s="6" t="str" cm="1">
        <f t="array" aca="1" ref="Z5:AA54" ca="1">_xlfn.STOCKHISTORY("XASX:CBA","01-01-2021","01-01-2025",2,1,0,1)</f>
        <v>Date</v>
      </c>
      <c r="AA5" t="str">
        <f ca="1"/>
        <v>Close</v>
      </c>
      <c r="AB5" s="76" t="s">
        <v>20</v>
      </c>
      <c r="AC5" s="18"/>
      <c r="AD5" s="6" t="str" cm="1">
        <f t="array" aca="1" ref="AD5:AE54" ca="1">_xlfn.STOCKHISTORY("XASX:SUN","01-01-2021","01-01-2025",2,1,0,1)</f>
        <v>Date</v>
      </c>
      <c r="AE5" t="str">
        <f ca="1"/>
        <v>Close</v>
      </c>
      <c r="AF5" s="232" t="s">
        <v>20</v>
      </c>
      <c r="AG5" s="18"/>
      <c r="AI5" s="256"/>
      <c r="AK5" s="10" t="s">
        <v>1</v>
      </c>
      <c r="AL5" s="10" t="s">
        <v>2</v>
      </c>
      <c r="AM5" s="15" t="s">
        <v>3</v>
      </c>
      <c r="AN5" s="16" t="s">
        <v>29</v>
      </c>
      <c r="AO5" s="19" t="s">
        <v>25</v>
      </c>
    </row>
    <row r="6" spans="1:41" ht="17" x14ac:dyDescent="0.2">
      <c r="A6">
        <v>0</v>
      </c>
      <c r="B6" s="20" vm="1">
        <f ca="1"/>
        <v>44197</v>
      </c>
      <c r="C6" s="20" vm="2">
        <f ca="1"/>
        <v>42.84</v>
      </c>
      <c r="D6" s="7"/>
      <c r="E6" s="17"/>
      <c r="F6" s="20" vm="1">
        <f ca="1"/>
        <v>44197</v>
      </c>
      <c r="G6" s="20" vm="3">
        <f ca="1"/>
        <v>0.24</v>
      </c>
      <c r="H6" s="7"/>
      <c r="I6" s="17"/>
      <c r="J6" s="20" vm="1">
        <f ca="1"/>
        <v>44197</v>
      </c>
      <c r="K6" s="20" vm="4">
        <f ca="1"/>
        <v>129.88999999999999</v>
      </c>
      <c r="L6" s="7"/>
      <c r="M6" s="17"/>
      <c r="N6" s="20" vm="1">
        <f ca="1"/>
        <v>44197</v>
      </c>
      <c r="O6" s="20" vm="5">
        <f ca="1"/>
        <v>0.65</v>
      </c>
      <c r="P6" s="7"/>
      <c r="Q6" s="17"/>
      <c r="R6" s="20" vm="1">
        <f ca="1"/>
        <v>44197</v>
      </c>
      <c r="S6" s="20" vm="6">
        <f ca="1"/>
        <v>3.12</v>
      </c>
      <c r="T6" s="7"/>
      <c r="U6" s="17"/>
      <c r="V6" s="20" vm="1">
        <f ca="1"/>
        <v>44197</v>
      </c>
      <c r="W6" s="20" vm="7">
        <f ca="1"/>
        <v>7.4</v>
      </c>
      <c r="X6" s="7"/>
      <c r="Y6" s="17"/>
      <c r="Z6" s="20" vm="1">
        <f ca="1"/>
        <v>44197</v>
      </c>
      <c r="AA6" s="20" vm="8">
        <f ca="1"/>
        <v>83.51</v>
      </c>
      <c r="AB6" s="7"/>
      <c r="AC6" s="17"/>
      <c r="AD6" s="20" vm="1">
        <f ca="1"/>
        <v>44197</v>
      </c>
      <c r="AE6" s="20" vm="9">
        <f ca="1"/>
        <v>10.0009</v>
      </c>
      <c r="AF6" s="7"/>
      <c r="AG6" s="17"/>
      <c r="AI6" s="257"/>
      <c r="AK6" s="8" t="s">
        <v>69</v>
      </c>
      <c r="AL6" s="73" t="s">
        <v>70</v>
      </c>
      <c r="AM6" s="244" t="s">
        <v>9</v>
      </c>
      <c r="AN6" s="248" t="s">
        <v>43</v>
      </c>
      <c r="AO6" s="96" t="s">
        <v>35</v>
      </c>
    </row>
    <row r="7" spans="1:41" ht="17" x14ac:dyDescent="0.2">
      <c r="A7">
        <v>1</v>
      </c>
      <c r="B7" s="20" vm="10">
        <f ca="1"/>
        <v>44228</v>
      </c>
      <c r="C7" s="20" vm="11">
        <f ca="1"/>
        <v>44.35</v>
      </c>
      <c r="D7" s="7">
        <f ca="1">(C7-C6)/C6</f>
        <v>3.5247432306255787E-2</v>
      </c>
      <c r="E7" s="17"/>
      <c r="F7" s="20" vm="10">
        <f ca="1"/>
        <v>44228</v>
      </c>
      <c r="G7" s="20" vm="12">
        <f ca="1"/>
        <v>0.27</v>
      </c>
      <c r="H7" s="7">
        <f ca="1">(G7-G6)/G6</f>
        <v>0.12500000000000011</v>
      </c>
      <c r="I7" s="17"/>
      <c r="J7" s="20" vm="10">
        <f ca="1"/>
        <v>44228</v>
      </c>
      <c r="K7" s="20" vm="13">
        <f ca="1"/>
        <v>118.43</v>
      </c>
      <c r="L7" s="7">
        <f ca="1">(K7-K6)/K6</f>
        <v>-8.8228501039340837E-2</v>
      </c>
      <c r="M7" s="17"/>
      <c r="N7" s="20" vm="10">
        <f ca="1"/>
        <v>44228</v>
      </c>
      <c r="O7" s="20" vm="5">
        <f ca="1"/>
        <v>0.65</v>
      </c>
      <c r="P7" s="7">
        <f ca="1">(O7-O6)/O6</f>
        <v>0</v>
      </c>
      <c r="Q7" s="17"/>
      <c r="R7" s="20" vm="10">
        <f ca="1"/>
        <v>44228</v>
      </c>
      <c r="S7" s="20" vm="14">
        <f ca="1"/>
        <v>3.08</v>
      </c>
      <c r="T7" s="7">
        <f ca="1">(S7-S6)/S6</f>
        <v>-1.2820512820512832E-2</v>
      </c>
      <c r="U7" s="17"/>
      <c r="V7" s="20" vm="10">
        <f ca="1"/>
        <v>44228</v>
      </c>
      <c r="W7" s="20" vm="15">
        <f ca="1"/>
        <v>6.8</v>
      </c>
      <c r="X7" s="7">
        <f ca="1">(W7-W6)/W6</f>
        <v>-8.1081081081081155E-2</v>
      </c>
      <c r="Y7" s="17"/>
      <c r="Z7" s="20" vm="10">
        <f ca="1"/>
        <v>44228</v>
      </c>
      <c r="AA7" s="20" vm="16">
        <f ca="1"/>
        <v>81.56</v>
      </c>
      <c r="AB7" s="7">
        <f ca="1">(AA7-AA6)/AA6</f>
        <v>-2.3350496946473509E-2</v>
      </c>
      <c r="AC7" s="17"/>
      <c r="AD7" s="20" vm="10">
        <f ca="1"/>
        <v>44228</v>
      </c>
      <c r="AE7" s="20" vm="17">
        <f ca="1"/>
        <v>9.8620000000000001</v>
      </c>
      <c r="AF7" s="7">
        <f ca="1">(AE7-AE6)/AE6</f>
        <v>-1.3888750012498834E-2</v>
      </c>
      <c r="AG7" s="17"/>
      <c r="AI7" s="258"/>
      <c r="AK7" s="8" t="s">
        <v>168</v>
      </c>
      <c r="AL7" s="75" t="s">
        <v>169</v>
      </c>
      <c r="AM7" s="244"/>
      <c r="AN7" s="248"/>
      <c r="AO7" s="96" t="s">
        <v>36</v>
      </c>
    </row>
    <row r="8" spans="1:41" ht="17" x14ac:dyDescent="0.2">
      <c r="A8">
        <v>2</v>
      </c>
      <c r="B8" s="20" vm="18">
        <f ca="1"/>
        <v>44256</v>
      </c>
      <c r="C8" s="20" vm="19">
        <f ca="1"/>
        <v>41.33</v>
      </c>
      <c r="D8" s="7">
        <f t="shared" ref="D8:D54" ca="1" si="0">(C8-C7)/C7</f>
        <v>-6.809470124013535E-2</v>
      </c>
      <c r="E8" s="17"/>
      <c r="F8" s="20" vm="18">
        <f ca="1"/>
        <v>44256</v>
      </c>
      <c r="G8" s="20" vm="3">
        <f ca="1"/>
        <v>0.24</v>
      </c>
      <c r="H8" s="7">
        <f t="shared" ref="H8:H54" ca="1" si="1">(G8-G7)/G7</f>
        <v>-0.1111111111111112</v>
      </c>
      <c r="I8" s="17"/>
      <c r="J8" s="20" vm="18">
        <f ca="1"/>
        <v>44256</v>
      </c>
      <c r="K8" s="20" vm="20">
        <f ca="1"/>
        <v>126.53</v>
      </c>
      <c r="L8" s="7">
        <f t="shared" ref="L8:L54" ca="1" si="2">(K8-K7)/K7</f>
        <v>6.8394832390441557E-2</v>
      </c>
      <c r="M8" s="17"/>
      <c r="N8" s="20" vm="18">
        <f ca="1"/>
        <v>44256</v>
      </c>
      <c r="O8" s="20" vm="21">
        <f ca="1"/>
        <v>0.75</v>
      </c>
      <c r="P8" s="7">
        <f t="shared" ref="P8:P53" ca="1" si="3">(O8-O7)/O7</f>
        <v>0.1538461538461538</v>
      </c>
      <c r="Q8" s="17"/>
      <c r="R8" s="20" vm="18">
        <f ca="1"/>
        <v>44256</v>
      </c>
      <c r="S8" s="20" vm="22">
        <f ca="1"/>
        <v>3.4</v>
      </c>
      <c r="T8" s="7">
        <f t="shared" ref="T8:T54" ca="1" si="4">(S8-S7)/S7</f>
        <v>0.10389610389610385</v>
      </c>
      <c r="U8" s="17"/>
      <c r="V8" s="20" vm="18">
        <f ca="1"/>
        <v>44256</v>
      </c>
      <c r="W8" s="20" vm="23">
        <f ca="1"/>
        <v>6.33</v>
      </c>
      <c r="X8" s="7">
        <f t="shared" ref="X8:X54" ca="1" si="5">(W8-W7)/W7</f>
        <v>-6.9117647058823492E-2</v>
      </c>
      <c r="Y8" s="17"/>
      <c r="Z8" s="20" vm="18">
        <f ca="1"/>
        <v>44256</v>
      </c>
      <c r="AA8" s="20" vm="24">
        <f ca="1"/>
        <v>86.1</v>
      </c>
      <c r="AB8" s="7">
        <f t="shared" ref="AB8:AB54" ca="1" si="6">(AA8-AA7)/AA7</f>
        <v>5.5664541441883174E-2</v>
      </c>
      <c r="AC8" s="17"/>
      <c r="AD8" s="20" vm="18">
        <f ca="1"/>
        <v>44256</v>
      </c>
      <c r="AE8" s="20" vm="25">
        <f ca="1"/>
        <v>9.8223000000000003</v>
      </c>
      <c r="AF8" s="7">
        <f t="shared" ref="AF8:AF54" ca="1" si="7">(AE8-AE7)/AE7</f>
        <v>-4.0255526262421258E-3</v>
      </c>
      <c r="AG8" s="17"/>
      <c r="AI8" s="258"/>
      <c r="AK8" s="9" t="s">
        <v>71</v>
      </c>
      <c r="AL8" s="74" t="s">
        <v>72</v>
      </c>
      <c r="AM8" s="245" t="s">
        <v>10</v>
      </c>
      <c r="AN8" s="238" t="s">
        <v>44</v>
      </c>
      <c r="AO8" s="97" t="s">
        <v>37</v>
      </c>
    </row>
    <row r="9" spans="1:41" ht="17" x14ac:dyDescent="0.2">
      <c r="A9">
        <v>3</v>
      </c>
      <c r="B9" s="20" vm="26">
        <f ca="1"/>
        <v>44287</v>
      </c>
      <c r="C9" s="20" vm="27">
        <f ca="1"/>
        <v>47.21</v>
      </c>
      <c r="D9" s="7">
        <f t="shared" ca="1" si="0"/>
        <v>0.142269537865957</v>
      </c>
      <c r="E9" s="17"/>
      <c r="F9" s="20" vm="26">
        <f ca="1"/>
        <v>44287</v>
      </c>
      <c r="G9" s="20" vm="28">
        <f ca="1"/>
        <v>0.22500000000000001</v>
      </c>
      <c r="H9" s="7">
        <f t="shared" ca="1" si="1"/>
        <v>-6.2499999999999944E-2</v>
      </c>
      <c r="I9" s="17"/>
      <c r="J9" s="20" vm="26">
        <f ca="1"/>
        <v>44287</v>
      </c>
      <c r="K9" s="20" vm="29">
        <f ca="1"/>
        <v>141.56</v>
      </c>
      <c r="L9" s="7">
        <f t="shared" ca="1" si="2"/>
        <v>0.11878605864221925</v>
      </c>
      <c r="M9" s="17"/>
      <c r="N9" s="20" vm="26">
        <f ca="1"/>
        <v>44287</v>
      </c>
      <c r="O9" s="20" vm="30">
        <f ca="1"/>
        <v>0.74</v>
      </c>
      <c r="P9" s="7">
        <f t="shared" ca="1" si="3"/>
        <v>-1.3333333333333345E-2</v>
      </c>
      <c r="Q9" s="17"/>
      <c r="R9" s="20" vm="26">
        <f ca="1"/>
        <v>44287</v>
      </c>
      <c r="S9" s="20" vm="31">
        <f ca="1"/>
        <v>3.39</v>
      </c>
      <c r="T9" s="7">
        <f t="shared" ca="1" si="4"/>
        <v>-2.9411764705881728E-3</v>
      </c>
      <c r="U9" s="17"/>
      <c r="V9" s="20" vm="26">
        <f ca="1"/>
        <v>44287</v>
      </c>
      <c r="W9" s="20" vm="32">
        <f ca="1"/>
        <v>5.51</v>
      </c>
      <c r="X9" s="7">
        <f t="shared" ca="1" si="5"/>
        <v>-0.12954186413902058</v>
      </c>
      <c r="Y9" s="17"/>
      <c r="Z9" s="20" vm="26">
        <f ca="1"/>
        <v>44287</v>
      </c>
      <c r="AA9" s="20" vm="33">
        <f ca="1"/>
        <v>89.04</v>
      </c>
      <c r="AB9" s="7">
        <f t="shared" ca="1" si="6"/>
        <v>3.4146341463414775E-2</v>
      </c>
      <c r="AC9" s="17"/>
      <c r="AD9" s="20" vm="26">
        <f ca="1"/>
        <v>44287</v>
      </c>
      <c r="AE9" s="20" vm="34">
        <f ca="1"/>
        <v>10.4275</v>
      </c>
      <c r="AF9" s="7">
        <f t="shared" ca="1" si="7"/>
        <v>6.1614896714618769E-2</v>
      </c>
      <c r="AG9" s="17"/>
      <c r="AI9" s="258"/>
      <c r="AK9" s="9" t="s">
        <v>197</v>
      </c>
      <c r="AL9" s="75" t="s">
        <v>198</v>
      </c>
      <c r="AM9" s="245"/>
      <c r="AN9" s="238"/>
      <c r="AO9" s="97" t="s">
        <v>38</v>
      </c>
    </row>
    <row r="10" spans="1:41" ht="16" customHeight="1" x14ac:dyDescent="0.2">
      <c r="A10">
        <v>4</v>
      </c>
      <c r="B10" s="20" vm="35">
        <f ca="1"/>
        <v>44317</v>
      </c>
      <c r="C10" s="20" vm="36">
        <f ca="1"/>
        <v>46.11</v>
      </c>
      <c r="D10" s="7">
        <f t="shared" ca="1" si="0"/>
        <v>-2.3300148273670863E-2</v>
      </c>
      <c r="E10" s="17"/>
      <c r="F10" s="20" vm="35">
        <f ca="1"/>
        <v>44317</v>
      </c>
      <c r="G10" s="20" vm="37">
        <f ca="1"/>
        <v>0.26500000000000001</v>
      </c>
      <c r="H10" s="7">
        <f t="shared" ca="1" si="1"/>
        <v>0.17777777777777781</v>
      </c>
      <c r="I10" s="17"/>
      <c r="J10" s="20" vm="35">
        <f ca="1"/>
        <v>44317</v>
      </c>
      <c r="K10" s="20" vm="38">
        <f ca="1"/>
        <v>132.65</v>
      </c>
      <c r="L10" s="7">
        <f t="shared" ca="1" si="2"/>
        <v>-6.2941508900819412E-2</v>
      </c>
      <c r="M10" s="17"/>
      <c r="N10" s="20" vm="35">
        <f ca="1"/>
        <v>44317</v>
      </c>
      <c r="O10" s="20" vm="39">
        <f ca="1"/>
        <v>0.72499999999999998</v>
      </c>
      <c r="P10" s="7">
        <f t="shared" ca="1" si="3"/>
        <v>-2.0270270270270289E-2</v>
      </c>
      <c r="Q10" s="17"/>
      <c r="R10" s="20" vm="35">
        <f ca="1"/>
        <v>44317</v>
      </c>
      <c r="S10" s="20" vm="40">
        <f ca="1"/>
        <v>3.52</v>
      </c>
      <c r="T10" s="7">
        <f t="shared" ca="1" si="4"/>
        <v>3.8348082595870171E-2</v>
      </c>
      <c r="U10" s="17"/>
      <c r="V10" s="20" vm="35">
        <f ca="1"/>
        <v>44317</v>
      </c>
      <c r="W10" s="20" vm="41">
        <f ca="1"/>
        <v>5.21</v>
      </c>
      <c r="X10" s="7">
        <f t="shared" ca="1" si="5"/>
        <v>-5.4446460980036269E-2</v>
      </c>
      <c r="Y10" s="17"/>
      <c r="Z10" s="20" vm="35">
        <f ca="1"/>
        <v>44317</v>
      </c>
      <c r="AA10" s="20" vm="42">
        <f ca="1"/>
        <v>99.72</v>
      </c>
      <c r="AB10" s="7">
        <f t="shared" ca="1" si="6"/>
        <v>0.11994609164420476</v>
      </c>
      <c r="AC10" s="17"/>
      <c r="AD10" s="20" vm="35">
        <f ca="1"/>
        <v>44317</v>
      </c>
      <c r="AE10" s="20" vm="43">
        <f ca="1"/>
        <v>11.0327</v>
      </c>
      <c r="AF10" s="7">
        <f t="shared" ca="1" si="7"/>
        <v>5.803883960680891E-2</v>
      </c>
      <c r="AG10" s="17"/>
      <c r="AI10" s="258"/>
      <c r="AK10" s="8" t="s">
        <v>62</v>
      </c>
      <c r="AL10" s="73" t="s">
        <v>73</v>
      </c>
      <c r="AM10" s="246" t="s">
        <v>21</v>
      </c>
      <c r="AN10" s="242" t="s">
        <v>45</v>
      </c>
      <c r="AO10" s="98" t="s">
        <v>39</v>
      </c>
    </row>
    <row r="11" spans="1:41" ht="17" x14ac:dyDescent="0.2">
      <c r="A11">
        <v>5</v>
      </c>
      <c r="B11" s="20" vm="44">
        <f ca="1"/>
        <v>44348</v>
      </c>
      <c r="C11" s="20" vm="45">
        <f ca="1"/>
        <v>58.72</v>
      </c>
      <c r="D11" s="7">
        <f t="shared" ca="1" si="0"/>
        <v>0.27347646931251357</v>
      </c>
      <c r="E11" s="17"/>
      <c r="F11" s="20" vm="44">
        <f ca="1"/>
        <v>44348</v>
      </c>
      <c r="G11" s="20" vm="37">
        <f ca="1"/>
        <v>0.26500000000000001</v>
      </c>
      <c r="H11" s="7">
        <f t="shared" ca="1" si="1"/>
        <v>0</v>
      </c>
      <c r="I11" s="17"/>
      <c r="J11" s="20" vm="44">
        <f ca="1"/>
        <v>44348</v>
      </c>
      <c r="K11" s="20" vm="46">
        <f ca="1"/>
        <v>137.1</v>
      </c>
      <c r="L11" s="7">
        <f t="shared" ca="1" si="2"/>
        <v>3.3546928006030818E-2</v>
      </c>
      <c r="M11" s="17"/>
      <c r="N11" s="20" vm="44">
        <f ca="1"/>
        <v>44348</v>
      </c>
      <c r="O11" s="20" vm="47">
        <f ca="1"/>
        <v>0.63</v>
      </c>
      <c r="P11" s="7">
        <f t="shared" ca="1" si="3"/>
        <v>-0.13103448275862065</v>
      </c>
      <c r="Q11" s="17"/>
      <c r="R11" s="20" vm="44">
        <f ca="1"/>
        <v>44348</v>
      </c>
      <c r="S11" s="20" vm="48">
        <f ca="1"/>
        <v>3.76</v>
      </c>
      <c r="T11" s="7">
        <f t="shared" ca="1" si="4"/>
        <v>6.8181818181818121E-2</v>
      </c>
      <c r="U11" s="17"/>
      <c r="V11" s="20" vm="44">
        <f ca="1"/>
        <v>44348</v>
      </c>
      <c r="W11" s="20" vm="49">
        <f ca="1"/>
        <v>6.26</v>
      </c>
      <c r="X11" s="7">
        <f t="shared" ca="1" si="5"/>
        <v>0.20153550863723604</v>
      </c>
      <c r="Y11" s="17"/>
      <c r="Z11" s="20" vm="44">
        <f ca="1"/>
        <v>44348</v>
      </c>
      <c r="AA11" s="20" vm="50">
        <f ca="1"/>
        <v>99.87</v>
      </c>
      <c r="AB11" s="7">
        <f t="shared" ca="1" si="6"/>
        <v>1.5042117930205144E-3</v>
      </c>
      <c r="AC11" s="17"/>
      <c r="AD11" s="20" vm="44">
        <f ca="1"/>
        <v>44348</v>
      </c>
      <c r="AE11" s="20" vm="51">
        <f ca="1"/>
        <v>11.0228</v>
      </c>
      <c r="AF11" s="7">
        <f t="shared" ca="1" si="7"/>
        <v>-8.9733247527803886E-4</v>
      </c>
      <c r="AG11" s="17"/>
      <c r="AI11" s="258"/>
      <c r="AK11" s="8" t="s">
        <v>171</v>
      </c>
      <c r="AL11" s="75" t="s">
        <v>170</v>
      </c>
      <c r="AM11" s="246"/>
      <c r="AN11" s="242"/>
      <c r="AO11" s="98" t="s">
        <v>40</v>
      </c>
    </row>
    <row r="12" spans="1:41" ht="17" x14ac:dyDescent="0.2">
      <c r="A12">
        <v>6</v>
      </c>
      <c r="B12" s="20" vm="52">
        <f ca="1"/>
        <v>44378</v>
      </c>
      <c r="C12" s="20" vm="53">
        <f ca="1"/>
        <v>57.98</v>
      </c>
      <c r="D12" s="7">
        <f t="shared" ca="1" si="0"/>
        <v>-1.2602179836512295E-2</v>
      </c>
      <c r="E12" s="17"/>
      <c r="F12" s="20" vm="52">
        <f ca="1"/>
        <v>44378</v>
      </c>
      <c r="G12" s="20" vm="54">
        <f ca="1"/>
        <v>0.26</v>
      </c>
      <c r="H12" s="7">
        <f t="shared" ca="1" si="1"/>
        <v>-1.8867924528301903E-2</v>
      </c>
      <c r="I12" s="17"/>
      <c r="J12" s="20" vm="52">
        <f ca="1"/>
        <v>44378</v>
      </c>
      <c r="K12" s="20" vm="55">
        <f ca="1"/>
        <v>140.28</v>
      </c>
      <c r="L12" s="7">
        <f t="shared" ca="1" si="2"/>
        <v>2.3194748358862195E-2</v>
      </c>
      <c r="M12" s="17"/>
      <c r="N12" s="20" vm="52">
        <f ca="1"/>
        <v>44378</v>
      </c>
      <c r="O12" s="20" vm="56">
        <f ca="1"/>
        <v>0.61</v>
      </c>
      <c r="P12" s="7">
        <f t="shared" ca="1" si="3"/>
        <v>-3.1746031746031772E-2</v>
      </c>
      <c r="Q12" s="17"/>
      <c r="R12" s="20" vm="52">
        <f ca="1"/>
        <v>44378</v>
      </c>
      <c r="S12" s="20" vm="57">
        <f ca="1"/>
        <v>3.78</v>
      </c>
      <c r="T12" s="7">
        <f t="shared" ca="1" si="4"/>
        <v>5.3191489361702178E-3</v>
      </c>
      <c r="U12" s="17"/>
      <c r="V12" s="20" vm="52">
        <f ca="1"/>
        <v>44378</v>
      </c>
      <c r="W12" s="20" vm="58">
        <f ca="1"/>
        <v>6.18</v>
      </c>
      <c r="X12" s="7">
        <f t="shared" ca="1" si="5"/>
        <v>-1.2779552715654964E-2</v>
      </c>
      <c r="Y12" s="17"/>
      <c r="Z12" s="20" vm="52">
        <f ca="1"/>
        <v>44378</v>
      </c>
      <c r="AA12" s="20" vm="59">
        <f ca="1"/>
        <v>99.65</v>
      </c>
      <c r="AB12" s="7">
        <f t="shared" ca="1" si="6"/>
        <v>-2.2028637228396803E-3</v>
      </c>
      <c r="AC12" s="17"/>
      <c r="AD12" s="20" vm="52">
        <f ca="1"/>
        <v>44378</v>
      </c>
      <c r="AE12" s="20" vm="60">
        <f ca="1"/>
        <v>11.449400000000001</v>
      </c>
      <c r="AF12" s="7">
        <f t="shared" ca="1" si="7"/>
        <v>3.8701600319338149E-2</v>
      </c>
      <c r="AG12" s="17"/>
      <c r="AI12" s="258"/>
      <c r="AK12" s="3" t="s">
        <v>63</v>
      </c>
      <c r="AL12" s="74" t="s">
        <v>74</v>
      </c>
      <c r="AM12" s="247" t="s">
        <v>19</v>
      </c>
      <c r="AN12" s="243" t="s">
        <v>46</v>
      </c>
      <c r="AO12" s="99" t="s">
        <v>41</v>
      </c>
    </row>
    <row r="13" spans="1:41" ht="17" x14ac:dyDescent="0.2">
      <c r="A13">
        <v>7</v>
      </c>
      <c r="B13" s="20" vm="61">
        <f ca="1"/>
        <v>44409</v>
      </c>
      <c r="C13" s="20" vm="62">
        <f ca="1"/>
        <v>63.07</v>
      </c>
      <c r="D13" s="7">
        <f t="shared" ca="1" si="0"/>
        <v>8.7788892721628209E-2</v>
      </c>
      <c r="E13" s="17"/>
      <c r="F13" s="20" vm="61">
        <f ca="1"/>
        <v>44409</v>
      </c>
      <c r="G13" s="20" vm="63">
        <f ca="1"/>
        <v>0.3</v>
      </c>
      <c r="H13" s="7">
        <f t="shared" ca="1" si="1"/>
        <v>0.15384615384615377</v>
      </c>
      <c r="I13" s="17"/>
      <c r="J13" s="20" vm="61">
        <f ca="1"/>
        <v>44409</v>
      </c>
      <c r="K13" s="20" vm="64">
        <f ca="1"/>
        <v>151.82</v>
      </c>
      <c r="L13" s="7">
        <f t="shared" ca="1" si="2"/>
        <v>8.2264043341887597E-2</v>
      </c>
      <c r="M13" s="17"/>
      <c r="N13" s="20" vm="61">
        <f ca="1"/>
        <v>44409</v>
      </c>
      <c r="O13" s="20" vm="65">
        <f ca="1"/>
        <v>0.69</v>
      </c>
      <c r="P13" s="7">
        <f t="shared" ca="1" si="3"/>
        <v>0.13114754098360648</v>
      </c>
      <c r="Q13" s="17"/>
      <c r="R13" s="20" vm="61">
        <f ca="1"/>
        <v>44409</v>
      </c>
      <c r="S13" s="20" vm="66">
        <f ca="1"/>
        <v>3.84</v>
      </c>
      <c r="T13" s="7">
        <f t="shared" ca="1" si="4"/>
        <v>1.5873015873015889E-2</v>
      </c>
      <c r="U13" s="17"/>
      <c r="V13" s="20" vm="61">
        <f ca="1"/>
        <v>44409</v>
      </c>
      <c r="W13" s="20" vm="67">
        <f ca="1"/>
        <v>6.16</v>
      </c>
      <c r="X13" s="7">
        <f t="shared" ca="1" si="5"/>
        <v>-3.2362459546924878E-3</v>
      </c>
      <c r="Y13" s="17"/>
      <c r="Z13" s="20" vm="61">
        <f ca="1"/>
        <v>44409</v>
      </c>
      <c r="AA13" s="20" vm="68">
        <f ca="1"/>
        <v>100.12</v>
      </c>
      <c r="AB13" s="7">
        <f t="shared" ca="1" si="6"/>
        <v>4.7165077772202595E-3</v>
      </c>
      <c r="AC13" s="17"/>
      <c r="AD13" s="20" vm="61">
        <f ca="1"/>
        <v>44409</v>
      </c>
      <c r="AE13" s="20" vm="69">
        <f ca="1"/>
        <v>12.460100000000001</v>
      </c>
      <c r="AF13" s="7">
        <f t="shared" ca="1" si="7"/>
        <v>8.8275368141561991E-2</v>
      </c>
      <c r="AG13" s="17"/>
      <c r="AI13" s="258"/>
      <c r="AK13" s="9" t="s">
        <v>174</v>
      </c>
      <c r="AL13" s="75" t="s">
        <v>173</v>
      </c>
      <c r="AM13" s="247"/>
      <c r="AN13" s="243"/>
      <c r="AO13" s="99" t="s">
        <v>42</v>
      </c>
    </row>
    <row r="14" spans="1:41" x14ac:dyDescent="0.2">
      <c r="A14">
        <v>8</v>
      </c>
      <c r="B14" s="20" vm="70">
        <f ca="1"/>
        <v>44440</v>
      </c>
      <c r="C14" s="20" vm="71">
        <f ca="1"/>
        <v>54.61</v>
      </c>
      <c r="D14" s="7">
        <f t="shared" ca="1" si="0"/>
        <v>-0.13413667353733949</v>
      </c>
      <c r="E14" s="17"/>
      <c r="F14" s="20" vm="70">
        <f ca="1"/>
        <v>44440</v>
      </c>
      <c r="G14" s="20" vm="72">
        <f ca="1"/>
        <v>0.30499999999999999</v>
      </c>
      <c r="H14" s="7">
        <f t="shared" ca="1" si="1"/>
        <v>1.6666666666666684E-2</v>
      </c>
      <c r="I14" s="17"/>
      <c r="J14" s="20" vm="70">
        <f ca="1"/>
        <v>44440</v>
      </c>
      <c r="K14" s="20" vm="73">
        <f ca="1"/>
        <v>139</v>
      </c>
      <c r="L14" s="7">
        <f t="shared" ca="1" si="2"/>
        <v>-8.4442102489790505E-2</v>
      </c>
      <c r="M14" s="17"/>
      <c r="N14" s="20" vm="70">
        <f ca="1"/>
        <v>44440</v>
      </c>
      <c r="O14" s="20" vm="74">
        <f ca="1"/>
        <v>0.68500000000000005</v>
      </c>
      <c r="P14" s="7">
        <f t="shared" ca="1" si="3"/>
        <v>-7.2463768115940486E-3</v>
      </c>
      <c r="Q14" s="17"/>
      <c r="R14" s="20" vm="70">
        <f ca="1"/>
        <v>44440</v>
      </c>
      <c r="S14" s="20" vm="75">
        <f ca="1"/>
        <v>3.93</v>
      </c>
      <c r="T14" s="7">
        <f t="shared" ca="1" si="4"/>
        <v>2.343750000000008E-2</v>
      </c>
      <c r="U14" s="17"/>
      <c r="V14" s="20" vm="70">
        <f ca="1"/>
        <v>44440</v>
      </c>
      <c r="W14" s="20" vm="76">
        <f ca="1"/>
        <v>7.06</v>
      </c>
      <c r="X14" s="7">
        <f t="shared" ca="1" si="5"/>
        <v>0.14610389610389601</v>
      </c>
      <c r="Y14" s="17"/>
      <c r="Z14" s="20" vm="70">
        <f ca="1"/>
        <v>44440</v>
      </c>
      <c r="AA14" s="20" vm="77">
        <f ca="1"/>
        <v>104.33</v>
      </c>
      <c r="AB14" s="7">
        <f t="shared" ca="1" si="6"/>
        <v>4.2049540551338332E-2</v>
      </c>
      <c r="AC14" s="17"/>
      <c r="AD14" s="20" vm="70">
        <f ca="1"/>
        <v>44440</v>
      </c>
      <c r="AE14" s="20" vm="78">
        <f ca="1"/>
        <v>12.539899999999999</v>
      </c>
      <c r="AF14" s="7">
        <f t="shared" ca="1" si="7"/>
        <v>6.4044429819984398E-3</v>
      </c>
      <c r="AG14" s="17"/>
      <c r="AI14" s="258"/>
    </row>
    <row r="15" spans="1:41" x14ac:dyDescent="0.2">
      <c r="A15">
        <v>9</v>
      </c>
      <c r="B15" s="20" vm="79">
        <f ca="1"/>
        <v>44470</v>
      </c>
      <c r="C15" s="20" vm="80">
        <f ca="1"/>
        <v>53.28</v>
      </c>
      <c r="D15" s="7">
        <f t="shared" ca="1" si="0"/>
        <v>-2.4354513825306689E-2</v>
      </c>
      <c r="E15" s="17"/>
      <c r="F15" s="20" vm="79">
        <f ca="1"/>
        <v>44470</v>
      </c>
      <c r="G15" s="20" vm="81">
        <f ca="1"/>
        <v>0.28499999999999998</v>
      </c>
      <c r="H15" s="7">
        <f t="shared" ca="1" si="1"/>
        <v>-6.5573770491803338E-2</v>
      </c>
      <c r="I15" s="17"/>
      <c r="J15" s="20" vm="79">
        <f ca="1"/>
        <v>44470</v>
      </c>
      <c r="K15" s="20" vm="82">
        <f ca="1"/>
        <v>149.51</v>
      </c>
      <c r="L15" s="7">
        <f t="shared" ca="1" si="2"/>
        <v>7.561151079136684E-2</v>
      </c>
      <c r="M15" s="17"/>
      <c r="N15" s="20" vm="79">
        <f ca="1"/>
        <v>44470</v>
      </c>
      <c r="O15" s="20" vm="83">
        <f ca="1"/>
        <v>0.57999999999999996</v>
      </c>
      <c r="P15" s="7">
        <f t="shared" ca="1" si="3"/>
        <v>-0.15328467153284683</v>
      </c>
      <c r="Q15" s="17"/>
      <c r="R15" s="20" vm="79">
        <f ca="1"/>
        <v>44470</v>
      </c>
      <c r="S15" s="20" vm="84">
        <f ca="1"/>
        <v>3.82</v>
      </c>
      <c r="T15" s="7">
        <f t="shared" ca="1" si="4"/>
        <v>-2.7989821882951734E-2</v>
      </c>
      <c r="U15" s="17"/>
      <c r="V15" s="20" vm="79">
        <f ca="1"/>
        <v>44470</v>
      </c>
      <c r="W15" s="20" vm="85">
        <f ca="1"/>
        <v>6.75</v>
      </c>
      <c r="X15" s="7">
        <f t="shared" ca="1" si="5"/>
        <v>-4.3909348441926295E-2</v>
      </c>
      <c r="Y15" s="17"/>
      <c r="Z15" s="20" vm="79">
        <f ca="1"/>
        <v>44470</v>
      </c>
      <c r="AA15" s="20" vm="86">
        <f ca="1"/>
        <v>104.68</v>
      </c>
      <c r="AB15" s="7">
        <f t="shared" ca="1" si="6"/>
        <v>3.3547397680437894E-3</v>
      </c>
      <c r="AC15" s="17"/>
      <c r="AD15" s="20" vm="79">
        <f ca="1"/>
        <v>44470</v>
      </c>
      <c r="AE15" s="20" vm="87">
        <f ca="1"/>
        <v>11.7013</v>
      </c>
      <c r="AF15" s="7">
        <f t="shared" ca="1" si="7"/>
        <v>-6.6874536479557226E-2</v>
      </c>
      <c r="AG15" s="17"/>
      <c r="AI15" s="258"/>
    </row>
    <row r="16" spans="1:41" x14ac:dyDescent="0.2">
      <c r="A16">
        <v>10</v>
      </c>
      <c r="B16" s="20" vm="88">
        <f ca="1"/>
        <v>44501</v>
      </c>
      <c r="C16" s="20" vm="89">
        <f ca="1"/>
        <v>62.48</v>
      </c>
      <c r="D16" s="7">
        <f t="shared" ca="1" si="0"/>
        <v>0.17267267267267258</v>
      </c>
      <c r="E16" s="17"/>
      <c r="F16" s="20" vm="88">
        <f ca="1"/>
        <v>44501</v>
      </c>
      <c r="G16" s="20" vm="63">
        <f ca="1"/>
        <v>0.3</v>
      </c>
      <c r="H16" s="7">
        <f t="shared" ca="1" si="1"/>
        <v>5.2631578947368474E-2</v>
      </c>
      <c r="I16" s="17"/>
      <c r="J16" s="20" vm="88">
        <f ca="1"/>
        <v>44501</v>
      </c>
      <c r="K16" s="20" vm="90">
        <f ca="1"/>
        <v>144.84</v>
      </c>
      <c r="L16" s="7">
        <f t="shared" ca="1" si="2"/>
        <v>-3.1235368871647299E-2</v>
      </c>
      <c r="M16" s="17"/>
      <c r="N16" s="20" vm="88">
        <f ca="1"/>
        <v>44501</v>
      </c>
      <c r="O16" s="20" vm="56">
        <f ca="1"/>
        <v>0.61</v>
      </c>
      <c r="P16" s="7">
        <f t="shared" ca="1" si="3"/>
        <v>5.1724137931034531E-2</v>
      </c>
      <c r="Q16" s="17"/>
      <c r="R16" s="20" vm="88">
        <f ca="1"/>
        <v>44501</v>
      </c>
      <c r="S16" s="20" vm="91">
        <f ca="1"/>
        <v>4.07</v>
      </c>
      <c r="T16" s="7">
        <f t="shared" ca="1" si="4"/>
        <v>6.5445026178010596E-2</v>
      </c>
      <c r="U16" s="17"/>
      <c r="V16" s="20" vm="88">
        <f ca="1"/>
        <v>44501</v>
      </c>
      <c r="W16" s="20" vm="85">
        <f ca="1"/>
        <v>6.75</v>
      </c>
      <c r="X16" s="7">
        <f t="shared" ca="1" si="5"/>
        <v>0</v>
      </c>
      <c r="Y16" s="17"/>
      <c r="Z16" s="20" vm="88">
        <f ca="1"/>
        <v>44501</v>
      </c>
      <c r="AA16" s="20" vm="92">
        <f ca="1"/>
        <v>93.18</v>
      </c>
      <c r="AB16" s="7">
        <f t="shared" ca="1" si="6"/>
        <v>-0.10985861673672143</v>
      </c>
      <c r="AC16" s="17"/>
      <c r="AD16" s="20" vm="88">
        <f ca="1"/>
        <v>44501</v>
      </c>
      <c r="AE16" s="20" vm="93">
        <f ca="1"/>
        <v>10.8027</v>
      </c>
      <c r="AF16" s="7">
        <f t="shared" ca="1" si="7"/>
        <v>-7.6794886038303437E-2</v>
      </c>
      <c r="AG16" s="17"/>
      <c r="AI16" s="257"/>
    </row>
    <row r="17" spans="1:38" x14ac:dyDescent="0.2">
      <c r="A17">
        <v>11</v>
      </c>
      <c r="B17" s="20" vm="94">
        <f ca="1"/>
        <v>44531</v>
      </c>
      <c r="C17" s="20" vm="95">
        <f ca="1"/>
        <v>62.44</v>
      </c>
      <c r="D17" s="7">
        <f t="shared" ca="1" si="0"/>
        <v>-6.4020486555696466E-4</v>
      </c>
      <c r="E17" s="17"/>
      <c r="F17" s="20" vm="94">
        <f ca="1"/>
        <v>44531</v>
      </c>
      <c r="G17" s="20" vm="96">
        <f ca="1"/>
        <v>0.36</v>
      </c>
      <c r="H17" s="7">
        <f t="shared" ca="1" si="1"/>
        <v>0.2</v>
      </c>
      <c r="I17" s="17"/>
      <c r="J17" s="20" vm="94">
        <f ca="1"/>
        <v>44531</v>
      </c>
      <c r="K17" s="20" vm="97">
        <f ca="1"/>
        <v>141.44</v>
      </c>
      <c r="L17" s="7">
        <f t="shared" ca="1" si="2"/>
        <v>-2.3474178403755906E-2</v>
      </c>
      <c r="M17" s="17"/>
      <c r="N17" s="20" vm="94">
        <f ca="1"/>
        <v>44531</v>
      </c>
      <c r="O17" s="20" vm="98">
        <f ca="1"/>
        <v>0.64</v>
      </c>
      <c r="P17" s="7">
        <f t="shared" ca="1" si="3"/>
        <v>4.9180327868852507E-2</v>
      </c>
      <c r="Q17" s="17"/>
      <c r="R17" s="20" vm="94">
        <f ca="1"/>
        <v>44531</v>
      </c>
      <c r="S17" s="20" vm="99">
        <f ca="1"/>
        <v>4.18</v>
      </c>
      <c r="T17" s="7">
        <f t="shared" ca="1" si="4"/>
        <v>2.7027027027026886E-2</v>
      </c>
      <c r="U17" s="17"/>
      <c r="V17" s="20" vm="94">
        <f ca="1"/>
        <v>44531</v>
      </c>
      <c r="W17" s="20" vm="100">
        <f ca="1"/>
        <v>5.89</v>
      </c>
      <c r="X17" s="7">
        <f t="shared" ca="1" si="5"/>
        <v>-0.12740740740740744</v>
      </c>
      <c r="Y17" s="17"/>
      <c r="Z17" s="20" vm="94">
        <f ca="1"/>
        <v>44531</v>
      </c>
      <c r="AA17" s="20" vm="101">
        <f ca="1"/>
        <v>101</v>
      </c>
      <c r="AB17" s="7">
        <f t="shared" ca="1" si="6"/>
        <v>8.3923588752951195E-2</v>
      </c>
      <c r="AC17" s="17"/>
      <c r="AD17" s="20" vm="94">
        <f ca="1"/>
        <v>44531</v>
      </c>
      <c r="AE17" s="20" vm="102">
        <f ca="1"/>
        <v>11.052300000000001</v>
      </c>
      <c r="AF17" s="7">
        <f t="shared" ca="1" si="7"/>
        <v>2.3105334777416844E-2</v>
      </c>
      <c r="AG17" s="17"/>
      <c r="AI17" s="258"/>
    </row>
    <row r="18" spans="1:38" x14ac:dyDescent="0.2">
      <c r="A18">
        <v>12</v>
      </c>
      <c r="B18" s="20" vm="103">
        <f ca="1"/>
        <v>44562</v>
      </c>
      <c r="C18" s="20" vm="104">
        <f ca="1"/>
        <v>45.1</v>
      </c>
      <c r="D18" s="7">
        <f t="shared" ca="1" si="0"/>
        <v>-0.27770659833440098</v>
      </c>
      <c r="E18" s="17"/>
      <c r="F18" s="20" vm="103">
        <f ca="1"/>
        <v>44562</v>
      </c>
      <c r="G18" s="20" vm="105">
        <f ca="1"/>
        <v>0.35</v>
      </c>
      <c r="H18" s="7">
        <f t="shared" ca="1" si="1"/>
        <v>-2.7777777777777804E-2</v>
      </c>
      <c r="I18" s="17"/>
      <c r="J18" s="20" vm="103">
        <f ca="1"/>
        <v>44562</v>
      </c>
      <c r="K18" s="20" vm="106">
        <f ca="1"/>
        <v>112.91</v>
      </c>
      <c r="L18" s="7">
        <f t="shared" ca="1" si="2"/>
        <v>-0.20171097285067874</v>
      </c>
      <c r="M18" s="17"/>
      <c r="N18" s="20" vm="103">
        <f ca="1"/>
        <v>44562</v>
      </c>
      <c r="O18" s="20" vm="107">
        <f ca="1"/>
        <v>0.64500000000000002</v>
      </c>
      <c r="P18" s="7">
        <f t="shared" ca="1" si="3"/>
        <v>7.8125000000000069E-3</v>
      </c>
      <c r="Q18" s="17"/>
      <c r="R18" s="20" vm="103">
        <f ca="1"/>
        <v>44562</v>
      </c>
      <c r="S18" s="20" vm="108">
        <f ca="1"/>
        <v>3.92</v>
      </c>
      <c r="T18" s="7">
        <f t="shared" ca="1" si="4"/>
        <v>-6.2200956937798993E-2</v>
      </c>
      <c r="U18" s="17"/>
      <c r="V18" s="20" vm="103">
        <f ca="1"/>
        <v>44562</v>
      </c>
      <c r="W18" s="20" vm="109">
        <f ca="1"/>
        <v>5.9</v>
      </c>
      <c r="X18" s="7">
        <f t="shared" ca="1" si="5"/>
        <v>1.6977928692700638E-3</v>
      </c>
      <c r="Y18" s="17"/>
      <c r="Z18" s="20" vm="103">
        <f ca="1"/>
        <v>44562</v>
      </c>
      <c r="AA18" s="20" vm="110">
        <f ca="1"/>
        <v>93.74</v>
      </c>
      <c r="AB18" s="7">
        <f t="shared" ca="1" si="6"/>
        <v>-7.1881188118811931E-2</v>
      </c>
      <c r="AC18" s="17"/>
      <c r="AD18" s="20" vm="103">
        <f ca="1"/>
        <v>44562</v>
      </c>
      <c r="AE18" s="20" vm="111">
        <f ca="1"/>
        <v>11.022399999999999</v>
      </c>
      <c r="AF18" s="7">
        <f t="shared" ca="1" si="7"/>
        <v>-2.7053192548158636E-3</v>
      </c>
      <c r="AG18" s="17"/>
    </row>
    <row r="19" spans="1:38" x14ac:dyDescent="0.2">
      <c r="A19">
        <v>13</v>
      </c>
      <c r="B19" s="20" vm="112">
        <f ca="1"/>
        <v>44593</v>
      </c>
      <c r="C19" s="20" vm="113">
        <f ca="1"/>
        <v>46.73</v>
      </c>
      <c r="D19" s="7">
        <f t="shared" ca="1" si="0"/>
        <v>3.6141906873614085E-2</v>
      </c>
      <c r="E19" s="17"/>
      <c r="F19" s="20" vm="112">
        <f ca="1"/>
        <v>44593</v>
      </c>
      <c r="G19" s="20" vm="114">
        <f ca="1"/>
        <v>0.38</v>
      </c>
      <c r="H19" s="7">
        <f t="shared" ca="1" si="1"/>
        <v>8.5714285714285798E-2</v>
      </c>
      <c r="I19" s="17"/>
      <c r="J19" s="20" vm="112">
        <f ca="1"/>
        <v>44593</v>
      </c>
      <c r="K19" s="20" vm="115">
        <f ca="1"/>
        <v>93.73</v>
      </c>
      <c r="L19" s="7">
        <f t="shared" ca="1" si="2"/>
        <v>-0.16986980781153124</v>
      </c>
      <c r="M19" s="17"/>
      <c r="N19" s="20" vm="112">
        <f ca="1"/>
        <v>44593</v>
      </c>
      <c r="O19" s="20" vm="116">
        <f ca="1"/>
        <v>0.66</v>
      </c>
      <c r="P19" s="7">
        <f t="shared" ca="1" si="3"/>
        <v>2.3255813953488393E-2</v>
      </c>
      <c r="Q19" s="17"/>
      <c r="R19" s="20" vm="112">
        <f ca="1"/>
        <v>44593</v>
      </c>
      <c r="S19" s="20" vm="117">
        <f ca="1"/>
        <v>3.96</v>
      </c>
      <c r="T19" s="7">
        <f t="shared" ca="1" si="4"/>
        <v>1.0204081632653071E-2</v>
      </c>
      <c r="U19" s="17"/>
      <c r="V19" s="20" vm="112">
        <f ca="1"/>
        <v>44593</v>
      </c>
      <c r="W19" s="20" vm="118">
        <f ca="1"/>
        <v>5.59</v>
      </c>
      <c r="X19" s="7">
        <f t="shared" ca="1" si="5"/>
        <v>-5.2542372881356013E-2</v>
      </c>
      <c r="Y19" s="17"/>
      <c r="Z19" s="20" vm="112">
        <f ca="1"/>
        <v>44593</v>
      </c>
      <c r="AA19" s="20" vm="119">
        <f ca="1"/>
        <v>93.46</v>
      </c>
      <c r="AB19" s="7">
        <f t="shared" ca="1" si="6"/>
        <v>-2.9869852784297113E-3</v>
      </c>
      <c r="AC19" s="17"/>
      <c r="AD19" s="20" vm="112">
        <f ca="1"/>
        <v>44593</v>
      </c>
      <c r="AE19" s="20" vm="120">
        <f ca="1"/>
        <v>10.752800000000001</v>
      </c>
      <c r="AF19" s="7">
        <f t="shared" ca="1" si="7"/>
        <v>-2.4459282914791582E-2</v>
      </c>
      <c r="AG19" s="17"/>
    </row>
    <row r="20" spans="1:38" x14ac:dyDescent="0.2">
      <c r="A20">
        <v>14</v>
      </c>
      <c r="B20" s="20" vm="121">
        <f ca="1"/>
        <v>44621</v>
      </c>
      <c r="C20" s="20" vm="122">
        <f ca="1"/>
        <v>48.99</v>
      </c>
      <c r="D20" s="7">
        <f t="shared" ca="1" si="0"/>
        <v>4.8362936015407774E-2</v>
      </c>
      <c r="E20" s="17"/>
      <c r="F20" s="20" vm="121">
        <f ca="1"/>
        <v>44621</v>
      </c>
      <c r="G20" s="20" vm="123">
        <f ca="1"/>
        <v>0.45</v>
      </c>
      <c r="H20" s="7">
        <f t="shared" ca="1" si="1"/>
        <v>0.18421052631578949</v>
      </c>
      <c r="I20" s="17"/>
      <c r="J20" s="20" vm="121">
        <f ca="1"/>
        <v>44621</v>
      </c>
      <c r="K20" s="20" vm="124">
        <f ca="1"/>
        <v>102.75</v>
      </c>
      <c r="L20" s="7">
        <f t="shared" ca="1" si="2"/>
        <v>9.6233863224154434E-2</v>
      </c>
      <c r="M20" s="17"/>
      <c r="N20" s="20" vm="121">
        <f ca="1"/>
        <v>44621</v>
      </c>
      <c r="O20" s="20" vm="65">
        <f ca="1"/>
        <v>0.69</v>
      </c>
      <c r="P20" s="7">
        <f t="shared" ca="1" si="3"/>
        <v>4.5454545454545324E-2</v>
      </c>
      <c r="Q20" s="17"/>
      <c r="R20" s="20" vm="121">
        <f ca="1"/>
        <v>44621</v>
      </c>
      <c r="S20" s="20" vm="117">
        <f ca="1"/>
        <v>3.96</v>
      </c>
      <c r="T20" s="7">
        <f t="shared" ca="1" si="4"/>
        <v>0</v>
      </c>
      <c r="U20" s="17"/>
      <c r="V20" s="20" vm="121">
        <f ca="1"/>
        <v>44621</v>
      </c>
      <c r="W20" s="20" vm="125">
        <f ca="1"/>
        <v>6.05</v>
      </c>
      <c r="X20" s="7">
        <f t="shared" ca="1" si="5"/>
        <v>8.2289803220035776E-2</v>
      </c>
      <c r="Y20" s="17"/>
      <c r="Z20" s="20" vm="121">
        <f ca="1"/>
        <v>44621</v>
      </c>
      <c r="AA20" s="20" vm="126">
        <f ca="1"/>
        <v>105.77</v>
      </c>
      <c r="AB20" s="7">
        <f t="shared" ca="1" si="6"/>
        <v>0.13171410228974967</v>
      </c>
      <c r="AC20" s="17"/>
      <c r="AD20" s="20" vm="121">
        <f ca="1"/>
        <v>44621</v>
      </c>
      <c r="AE20" s="20" vm="127">
        <f ca="1"/>
        <v>11.1022</v>
      </c>
      <c r="AF20" s="7">
        <f t="shared" ca="1" si="7"/>
        <v>3.2493862063834464E-2</v>
      </c>
      <c r="AG20" s="17"/>
    </row>
    <row r="21" spans="1:38" x14ac:dyDescent="0.2">
      <c r="A21">
        <v>15</v>
      </c>
      <c r="B21" s="20" vm="128">
        <f ca="1"/>
        <v>44652</v>
      </c>
      <c r="C21" s="20" vm="129">
        <f ca="1"/>
        <v>47.48</v>
      </c>
      <c r="D21" s="7">
        <f t="shared" ca="1" si="0"/>
        <v>-3.0822616860583896E-2</v>
      </c>
      <c r="E21" s="17"/>
      <c r="F21" s="20" vm="128">
        <f ca="1"/>
        <v>44652</v>
      </c>
      <c r="G21" s="20" vm="130">
        <f ca="1"/>
        <v>0.41499999999999998</v>
      </c>
      <c r="H21" s="7">
        <f t="shared" ca="1" si="1"/>
        <v>-7.7777777777777848E-2</v>
      </c>
      <c r="I21" s="17"/>
      <c r="J21" s="20" vm="128">
        <f ca="1"/>
        <v>44652</v>
      </c>
      <c r="K21" s="20" vm="131">
        <f ca="1"/>
        <v>96.35</v>
      </c>
      <c r="L21" s="7">
        <f t="shared" ca="1" si="2"/>
        <v>-6.2287104622871105E-2</v>
      </c>
      <c r="M21" s="17"/>
      <c r="N21" s="20" vm="128">
        <f ca="1"/>
        <v>44652</v>
      </c>
      <c r="O21" s="20" vm="132">
        <f ca="1"/>
        <v>0.68</v>
      </c>
      <c r="P21" s="7">
        <f t="shared" ca="1" si="3"/>
        <v>-1.4492753623188259E-2</v>
      </c>
      <c r="Q21" s="17"/>
      <c r="R21" s="20" vm="128">
        <f ca="1"/>
        <v>44652</v>
      </c>
      <c r="S21" s="20" vm="133">
        <f ca="1"/>
        <v>4.04</v>
      </c>
      <c r="T21" s="7">
        <f t="shared" ca="1" si="4"/>
        <v>2.0202020202020221E-2</v>
      </c>
      <c r="U21" s="17"/>
      <c r="V21" s="20" vm="128">
        <f ca="1"/>
        <v>44652</v>
      </c>
      <c r="W21" s="20" vm="134">
        <f ca="1"/>
        <v>5.88</v>
      </c>
      <c r="X21" s="7">
        <f t="shared" ca="1" si="5"/>
        <v>-2.8099173553718996E-2</v>
      </c>
      <c r="Y21" s="17"/>
      <c r="Z21" s="20" vm="128">
        <f ca="1"/>
        <v>44652</v>
      </c>
      <c r="AA21" s="20" vm="135">
        <f ca="1"/>
        <v>103.88</v>
      </c>
      <c r="AB21" s="7">
        <f t="shared" ca="1" si="6"/>
        <v>-1.7868960953011256E-2</v>
      </c>
      <c r="AC21" s="17"/>
      <c r="AD21" s="20" vm="128">
        <f ca="1"/>
        <v>44652</v>
      </c>
      <c r="AE21" s="20" vm="136">
        <f ca="1"/>
        <v>11.441700000000001</v>
      </c>
      <c r="AF21" s="7">
        <f t="shared" ca="1" si="7"/>
        <v>3.0579524778872748E-2</v>
      </c>
      <c r="AG21" s="17"/>
      <c r="AI21" s="3"/>
    </row>
    <row r="22" spans="1:38" x14ac:dyDescent="0.2">
      <c r="A22">
        <v>16</v>
      </c>
      <c r="B22" s="20" vm="137">
        <f ca="1"/>
        <v>44682</v>
      </c>
      <c r="C22" s="20" vm="138">
        <f ca="1"/>
        <v>42.13</v>
      </c>
      <c r="D22" s="7">
        <f t="shared" ca="1" si="0"/>
        <v>-0.11267902274641943</v>
      </c>
      <c r="E22" s="17"/>
      <c r="F22" s="20" vm="137">
        <f ca="1"/>
        <v>44682</v>
      </c>
      <c r="G22" s="20" vm="139">
        <f ca="1"/>
        <v>0.315</v>
      </c>
      <c r="H22" s="7">
        <f t="shared" ca="1" si="1"/>
        <v>-0.24096385542168672</v>
      </c>
      <c r="I22" s="17"/>
      <c r="J22" s="20" vm="137">
        <f ca="1"/>
        <v>44682</v>
      </c>
      <c r="K22" s="20" vm="140">
        <f ca="1"/>
        <v>89.29</v>
      </c>
      <c r="L22" s="7">
        <f t="shared" ca="1" si="2"/>
        <v>-7.3274519979242225E-2</v>
      </c>
      <c r="M22" s="17"/>
      <c r="N22" s="20" vm="137">
        <f ca="1"/>
        <v>44682</v>
      </c>
      <c r="O22" s="20" vm="141">
        <f ca="1"/>
        <v>0.56999999999999995</v>
      </c>
      <c r="P22" s="7">
        <f t="shared" ca="1" si="3"/>
        <v>-0.16176470588235306</v>
      </c>
      <c r="Q22" s="17"/>
      <c r="R22" s="20" vm="137">
        <f ca="1"/>
        <v>44682</v>
      </c>
      <c r="S22" s="20" vm="142">
        <f ca="1"/>
        <v>3.88</v>
      </c>
      <c r="T22" s="7">
        <f t="shared" ca="1" si="4"/>
        <v>-3.9603960396039639E-2</v>
      </c>
      <c r="U22" s="17"/>
      <c r="V22" s="20" vm="137">
        <f ca="1"/>
        <v>44682</v>
      </c>
      <c r="W22" s="20" vm="143">
        <f ca="1"/>
        <v>5.75</v>
      </c>
      <c r="X22" s="7">
        <f t="shared" ca="1" si="5"/>
        <v>-2.2108843537414949E-2</v>
      </c>
      <c r="Y22" s="17"/>
      <c r="Z22" s="20" vm="137">
        <f ca="1"/>
        <v>44682</v>
      </c>
      <c r="AA22" s="20" vm="144">
        <f ca="1"/>
        <v>104.36</v>
      </c>
      <c r="AB22" s="7">
        <f t="shared" ca="1" si="6"/>
        <v>4.6207162110127459E-3</v>
      </c>
      <c r="AC22" s="17"/>
      <c r="AD22" s="20" vm="137">
        <f ca="1"/>
        <v>44682</v>
      </c>
      <c r="AE22" s="20" vm="145">
        <f ca="1"/>
        <v>11.331899999999999</v>
      </c>
      <c r="AF22" s="7">
        <f t="shared" ca="1" si="7"/>
        <v>-9.5964760481398459E-3</v>
      </c>
      <c r="AG22" s="17"/>
      <c r="AI22" s="23"/>
      <c r="AL22" s="13"/>
    </row>
    <row r="23" spans="1:38" x14ac:dyDescent="0.2">
      <c r="A23">
        <v>17</v>
      </c>
      <c r="B23" s="20" vm="146">
        <f ca="1"/>
        <v>44713</v>
      </c>
      <c r="C23" s="20" vm="147">
        <f ca="1"/>
        <v>42.25</v>
      </c>
      <c r="D23" s="7">
        <f t="shared" ca="1" si="0"/>
        <v>2.8483266081176699E-3</v>
      </c>
      <c r="E23" s="17"/>
      <c r="F23" s="20" vm="146">
        <f ca="1"/>
        <v>44713</v>
      </c>
      <c r="G23" s="20" vm="148">
        <f ca="1"/>
        <v>0.28000000000000003</v>
      </c>
      <c r="H23" s="7">
        <f t="shared" ca="1" si="1"/>
        <v>-0.11111111111111104</v>
      </c>
      <c r="I23" s="17"/>
      <c r="J23" s="20" vm="146">
        <f ca="1"/>
        <v>44713</v>
      </c>
      <c r="K23" s="20" vm="149">
        <f ca="1"/>
        <v>76.959999999999994</v>
      </c>
      <c r="L23" s="7">
        <f t="shared" ca="1" si="2"/>
        <v>-0.13808937171015803</v>
      </c>
      <c r="M23" s="17"/>
      <c r="N23" s="20" vm="146">
        <f ca="1"/>
        <v>44713</v>
      </c>
      <c r="O23" s="20" vm="150">
        <f ca="1"/>
        <v>0.55500000000000005</v>
      </c>
      <c r="P23" s="7">
        <f t="shared" ca="1" si="3"/>
        <v>-2.6315789473684043E-2</v>
      </c>
      <c r="Q23" s="17"/>
      <c r="R23" s="20" vm="146">
        <f ca="1"/>
        <v>44713</v>
      </c>
      <c r="S23" s="20" vm="151">
        <f ca="1"/>
        <v>3.85</v>
      </c>
      <c r="T23" s="7">
        <f t="shared" ca="1" si="4"/>
        <v>-7.7319587628865479E-3</v>
      </c>
      <c r="U23" s="17"/>
      <c r="V23" s="20" vm="146">
        <f ca="1"/>
        <v>44713</v>
      </c>
      <c r="W23" s="20" vm="152">
        <f ca="1"/>
        <v>5.97</v>
      </c>
      <c r="X23" s="7">
        <f t="shared" ca="1" si="5"/>
        <v>3.8260869565217348E-2</v>
      </c>
      <c r="Y23" s="17"/>
      <c r="Z23" s="20" vm="146">
        <f ca="1"/>
        <v>44713</v>
      </c>
      <c r="AA23" s="20" vm="153">
        <f ca="1"/>
        <v>90.38</v>
      </c>
      <c r="AB23" s="7">
        <f t="shared" ca="1" si="6"/>
        <v>-0.13395937140666925</v>
      </c>
      <c r="AC23" s="17"/>
      <c r="AD23" s="20" vm="146">
        <f ca="1"/>
        <v>44713</v>
      </c>
      <c r="AE23" s="20" vm="154">
        <f ca="1"/>
        <v>10.9625</v>
      </c>
      <c r="AF23" s="7">
        <f t="shared" ca="1" si="7"/>
        <v>-3.2598240365693205E-2</v>
      </c>
      <c r="AG23" s="17"/>
      <c r="AI23" s="23"/>
    </row>
    <row r="24" spans="1:38" x14ac:dyDescent="0.2">
      <c r="A24">
        <v>18</v>
      </c>
      <c r="B24" s="20" vm="155">
        <f ca="1"/>
        <v>44743</v>
      </c>
      <c r="C24" s="20" vm="156">
        <f ca="1"/>
        <v>49.54</v>
      </c>
      <c r="D24" s="7">
        <f t="shared" ca="1" si="0"/>
        <v>0.17254437869822484</v>
      </c>
      <c r="E24" s="17"/>
      <c r="F24" s="20" vm="155">
        <f ca="1"/>
        <v>44743</v>
      </c>
      <c r="G24" s="20" vm="139">
        <f ca="1"/>
        <v>0.315</v>
      </c>
      <c r="H24" s="7">
        <f t="shared" ca="1" si="1"/>
        <v>0.1249999999999999</v>
      </c>
      <c r="I24" s="17"/>
      <c r="J24" s="20" vm="155">
        <f ca="1"/>
        <v>44743</v>
      </c>
      <c r="K24" s="20" vm="157">
        <f ca="1"/>
        <v>92.99</v>
      </c>
      <c r="L24" s="7">
        <f t="shared" ca="1" si="2"/>
        <v>0.20829002079002082</v>
      </c>
      <c r="M24" s="17"/>
      <c r="N24" s="20" vm="155">
        <f ca="1"/>
        <v>44743</v>
      </c>
      <c r="O24" s="20" vm="158">
        <f ca="1"/>
        <v>0.6</v>
      </c>
      <c r="P24" s="7">
        <f t="shared" ca="1" si="3"/>
        <v>8.1081081081080947E-2</v>
      </c>
      <c r="Q24" s="17"/>
      <c r="R24" s="20" vm="155">
        <f ca="1"/>
        <v>44743</v>
      </c>
      <c r="S24" s="20" vm="159">
        <f ca="1"/>
        <v>3.89</v>
      </c>
      <c r="T24" s="7">
        <f t="shared" ca="1" si="4"/>
        <v>1.0389610389610398E-2</v>
      </c>
      <c r="U24" s="17"/>
      <c r="V24" s="20" vm="155">
        <f ca="1"/>
        <v>44743</v>
      </c>
      <c r="W24" s="20" vm="160">
        <f ca="1"/>
        <v>6.34</v>
      </c>
      <c r="X24" s="7">
        <f t="shared" ca="1" si="5"/>
        <v>6.1976549413735364E-2</v>
      </c>
      <c r="Y24" s="17"/>
      <c r="Z24" s="20" vm="155">
        <f ca="1"/>
        <v>44743</v>
      </c>
      <c r="AA24" s="20" vm="161">
        <f ca="1"/>
        <v>100.77</v>
      </c>
      <c r="AB24" s="7">
        <f t="shared" ca="1" si="6"/>
        <v>0.11495906173932287</v>
      </c>
      <c r="AC24" s="17"/>
      <c r="AD24" s="20" vm="155">
        <f ca="1"/>
        <v>44743</v>
      </c>
      <c r="AE24" s="20" vm="162">
        <f ca="1"/>
        <v>11.1721</v>
      </c>
      <c r="AF24" s="7">
        <f t="shared" ca="1" si="7"/>
        <v>1.9119726339794755E-2</v>
      </c>
      <c r="AG24" s="17"/>
      <c r="AI24" s="23"/>
    </row>
    <row r="25" spans="1:38" x14ac:dyDescent="0.2">
      <c r="A25">
        <v>19</v>
      </c>
      <c r="B25" s="20" vm="163">
        <f ca="1"/>
        <v>44774</v>
      </c>
      <c r="C25" s="20" vm="164">
        <f ca="1"/>
        <v>54.48</v>
      </c>
      <c r="D25" s="7">
        <f t="shared" ca="1" si="0"/>
        <v>9.9717400080742785E-2</v>
      </c>
      <c r="E25" s="17"/>
      <c r="F25" s="20" vm="163">
        <f ca="1"/>
        <v>44774</v>
      </c>
      <c r="G25" s="20" vm="165">
        <f ca="1"/>
        <v>0.39</v>
      </c>
      <c r="H25" s="7">
        <f t="shared" ca="1" si="1"/>
        <v>0.23809523809523814</v>
      </c>
      <c r="I25" s="17"/>
      <c r="J25" s="20" vm="163">
        <f ca="1"/>
        <v>44774</v>
      </c>
      <c r="K25" s="20" vm="166">
        <f ca="1"/>
        <v>87.75</v>
      </c>
      <c r="L25" s="7">
        <f t="shared" ca="1" si="2"/>
        <v>-5.6350145176900693E-2</v>
      </c>
      <c r="M25" s="17"/>
      <c r="N25" s="20" vm="163">
        <f ca="1"/>
        <v>44774</v>
      </c>
      <c r="O25" s="20" vm="167">
        <f ca="1"/>
        <v>0.61499999999999999</v>
      </c>
      <c r="P25" s="7">
        <f t="shared" ca="1" si="3"/>
        <v>2.5000000000000022E-2</v>
      </c>
      <c r="Q25" s="17"/>
      <c r="R25" s="20" vm="163">
        <f ca="1"/>
        <v>44774</v>
      </c>
      <c r="S25" s="20" vm="168">
        <f ca="1"/>
        <v>3.97</v>
      </c>
      <c r="T25" s="7">
        <f t="shared" ca="1" si="4"/>
        <v>2.0565552699228811E-2</v>
      </c>
      <c r="U25" s="17"/>
      <c r="V25" s="20" vm="163">
        <f ca="1"/>
        <v>44774</v>
      </c>
      <c r="W25" s="20" vm="169">
        <f ca="1"/>
        <v>5.35</v>
      </c>
      <c r="X25" s="7">
        <f t="shared" ca="1" si="5"/>
        <v>-0.15615141955835965</v>
      </c>
      <c r="Y25" s="17"/>
      <c r="Z25" s="20" vm="163">
        <f ca="1"/>
        <v>44774</v>
      </c>
      <c r="AA25" s="20" vm="170">
        <f ca="1"/>
        <v>97.47</v>
      </c>
      <c r="AB25" s="7">
        <f t="shared" ca="1" si="6"/>
        <v>-3.2747841619529594E-2</v>
      </c>
      <c r="AC25" s="17"/>
      <c r="AD25" s="20" vm="163">
        <f ca="1"/>
        <v>44774</v>
      </c>
      <c r="AE25" s="20" vm="171">
        <f ca="1"/>
        <v>10.8826</v>
      </c>
      <c r="AF25" s="7">
        <f t="shared" ca="1" si="7"/>
        <v>-2.5912764833827151E-2</v>
      </c>
      <c r="AG25" s="17"/>
      <c r="AI25" s="23"/>
    </row>
    <row r="26" spans="1:38" x14ac:dyDescent="0.2">
      <c r="A26">
        <v>20</v>
      </c>
      <c r="B26" s="20" vm="172">
        <f ca="1"/>
        <v>44805</v>
      </c>
      <c r="C26" s="20" vm="173">
        <f ca="1"/>
        <v>50.19</v>
      </c>
      <c r="D26" s="7">
        <f t="shared" ca="1" si="0"/>
        <v>-7.8744493392070472E-2</v>
      </c>
      <c r="E26" s="17"/>
      <c r="F26" s="20" vm="172">
        <f ca="1"/>
        <v>44805</v>
      </c>
      <c r="G26" s="20" vm="174">
        <f ca="1"/>
        <v>0.33</v>
      </c>
      <c r="H26" s="7">
        <f t="shared" ca="1" si="1"/>
        <v>-0.15384615384615383</v>
      </c>
      <c r="I26" s="17"/>
      <c r="J26" s="20" vm="172">
        <f ca="1"/>
        <v>44805</v>
      </c>
      <c r="K26" s="20" vm="175">
        <f ca="1"/>
        <v>73.510000000000005</v>
      </c>
      <c r="L26" s="7">
        <f t="shared" ca="1" si="2"/>
        <v>-0.16227920227920223</v>
      </c>
      <c r="M26" s="17"/>
      <c r="N26" s="20" vm="172">
        <f ca="1"/>
        <v>44805</v>
      </c>
      <c r="O26" s="20" vm="56">
        <f ca="1"/>
        <v>0.61</v>
      </c>
      <c r="P26" s="7">
        <f t="shared" ca="1" si="3"/>
        <v>-8.1300813008130159E-3</v>
      </c>
      <c r="Q26" s="17"/>
      <c r="R26" s="20" vm="172">
        <f ca="1"/>
        <v>44805</v>
      </c>
      <c r="S26" s="20" vm="151">
        <f ca="1"/>
        <v>3.85</v>
      </c>
      <c r="T26" s="7">
        <f t="shared" ca="1" si="4"/>
        <v>-3.0226700251889196E-2</v>
      </c>
      <c r="U26" s="17"/>
      <c r="V26" s="20" vm="172">
        <f ca="1"/>
        <v>44805</v>
      </c>
      <c r="W26" s="20" vm="176">
        <f ca="1"/>
        <v>4.8499999999999996</v>
      </c>
      <c r="X26" s="7">
        <f t="shared" ca="1" si="5"/>
        <v>-9.3457943925233655E-2</v>
      </c>
      <c r="Y26" s="17"/>
      <c r="Z26" s="20" vm="172">
        <f ca="1"/>
        <v>44805</v>
      </c>
      <c r="AA26" s="20" vm="177">
        <f ca="1"/>
        <v>90.7</v>
      </c>
      <c r="AB26" s="7">
        <f t="shared" ca="1" si="6"/>
        <v>-6.9457268903252239E-2</v>
      </c>
      <c r="AC26" s="17"/>
      <c r="AD26" s="20" vm="172">
        <f ca="1"/>
        <v>44805</v>
      </c>
      <c r="AE26" s="20" vm="178">
        <f ca="1"/>
        <v>10.013999999999999</v>
      </c>
      <c r="AF26" s="7">
        <f t="shared" ca="1" si="7"/>
        <v>-7.9815485270064199E-2</v>
      </c>
      <c r="AG26" s="17"/>
    </row>
    <row r="27" spans="1:38" x14ac:dyDescent="0.2">
      <c r="A27">
        <v>21</v>
      </c>
      <c r="B27" s="20" vm="179">
        <f ca="1"/>
        <v>44835</v>
      </c>
      <c r="C27" s="20" vm="180">
        <f ca="1"/>
        <v>55.82</v>
      </c>
      <c r="D27" s="7">
        <f t="shared" ca="1" si="0"/>
        <v>0.1121737397888026</v>
      </c>
      <c r="E27" s="17"/>
      <c r="F27" s="20" vm="179">
        <f ca="1"/>
        <v>44835</v>
      </c>
      <c r="G27" s="20" vm="181">
        <f ca="1"/>
        <v>0.34499999999999997</v>
      </c>
      <c r="H27" s="7">
        <f t="shared" ca="1" si="1"/>
        <v>4.5454545454545324E-2</v>
      </c>
      <c r="I27" s="17"/>
      <c r="J27" s="20" vm="179">
        <f ca="1"/>
        <v>44835</v>
      </c>
      <c r="K27" s="20" vm="182">
        <f ca="1"/>
        <v>78.069999999999993</v>
      </c>
      <c r="L27" s="7">
        <f t="shared" ca="1" si="2"/>
        <v>6.2032376547408348E-2</v>
      </c>
      <c r="M27" s="17"/>
      <c r="N27" s="20" vm="179">
        <f ca="1"/>
        <v>44835</v>
      </c>
      <c r="O27" s="20" vm="56">
        <f ca="1"/>
        <v>0.61</v>
      </c>
      <c r="P27" s="7">
        <f t="shared" ca="1" si="3"/>
        <v>0</v>
      </c>
      <c r="Q27" s="17"/>
      <c r="R27" s="20" vm="179">
        <f ca="1"/>
        <v>44835</v>
      </c>
      <c r="S27" s="20" vm="108">
        <f ca="1"/>
        <v>3.92</v>
      </c>
      <c r="T27" s="7">
        <f t="shared" ca="1" si="4"/>
        <v>1.8181818181818139E-2</v>
      </c>
      <c r="U27" s="17"/>
      <c r="V27" s="20" vm="179">
        <f ca="1"/>
        <v>44835</v>
      </c>
      <c r="W27" s="20" vm="183">
        <f ca="1"/>
        <v>4.9000000000000004</v>
      </c>
      <c r="X27" s="7">
        <f t="shared" ca="1" si="5"/>
        <v>1.0309278350515611E-2</v>
      </c>
      <c r="Y27" s="17"/>
      <c r="Z27" s="20" vm="179">
        <f ca="1"/>
        <v>44835</v>
      </c>
      <c r="AA27" s="20" vm="86">
        <f ca="1"/>
        <v>104.68</v>
      </c>
      <c r="AB27" s="7">
        <f t="shared" ca="1" si="6"/>
        <v>0.15413450937155462</v>
      </c>
      <c r="AC27" s="17"/>
      <c r="AD27" s="20" vm="179">
        <f ca="1"/>
        <v>44835</v>
      </c>
      <c r="AE27" s="20" vm="184">
        <f ca="1"/>
        <v>11.3918</v>
      </c>
      <c r="AF27" s="7">
        <f t="shared" ca="1" si="7"/>
        <v>0.13758737767126031</v>
      </c>
      <c r="AG27" s="17"/>
    </row>
    <row r="28" spans="1:38" x14ac:dyDescent="0.2">
      <c r="A28">
        <v>22</v>
      </c>
      <c r="B28" s="20" vm="185">
        <f ca="1"/>
        <v>44866</v>
      </c>
      <c r="C28" s="20" vm="186">
        <f ca="1"/>
        <v>59.44</v>
      </c>
      <c r="D28" s="7">
        <f t="shared" ca="1" si="0"/>
        <v>6.4851307774990999E-2</v>
      </c>
      <c r="E28" s="17"/>
      <c r="F28" s="20" vm="185">
        <f ca="1"/>
        <v>44866</v>
      </c>
      <c r="G28" s="20" vm="105">
        <f ca="1"/>
        <v>0.35</v>
      </c>
      <c r="H28" s="7">
        <f t="shared" ca="1" si="1"/>
        <v>1.449275362318842E-2</v>
      </c>
      <c r="I28" s="17"/>
      <c r="J28" s="20" vm="185">
        <f ca="1"/>
        <v>44866</v>
      </c>
      <c r="K28" s="20" vm="187">
        <f ca="1"/>
        <v>70.64</v>
      </c>
      <c r="L28" s="7">
        <f t="shared" ca="1" si="2"/>
        <v>-9.5171000384270441E-2</v>
      </c>
      <c r="M28" s="17"/>
      <c r="N28" s="20" vm="185">
        <f ca="1"/>
        <v>44866</v>
      </c>
      <c r="O28" s="20" vm="74">
        <f ca="1"/>
        <v>0.68500000000000005</v>
      </c>
      <c r="P28" s="7">
        <f t="shared" ca="1" si="3"/>
        <v>0.12295081967213126</v>
      </c>
      <c r="Q28" s="17"/>
      <c r="R28" s="20" vm="185">
        <f ca="1"/>
        <v>44866</v>
      </c>
      <c r="S28" s="20" vm="188">
        <f ca="1"/>
        <v>3.98</v>
      </c>
      <c r="T28" s="7">
        <f t="shared" ca="1" si="4"/>
        <v>1.5306122448979605E-2</v>
      </c>
      <c r="U28" s="17"/>
      <c r="V28" s="20" vm="185">
        <f ca="1"/>
        <v>44866</v>
      </c>
      <c r="W28" s="20" vm="189">
        <f ca="1"/>
        <v>4.8899999999999997</v>
      </c>
      <c r="X28" s="7">
        <f t="shared" ca="1" si="5"/>
        <v>-2.0408163265307499E-3</v>
      </c>
      <c r="Y28" s="17"/>
      <c r="Z28" s="20" vm="185">
        <f ca="1"/>
        <v>44866</v>
      </c>
      <c r="AA28" s="20" vm="190">
        <f ca="1"/>
        <v>107.86</v>
      </c>
      <c r="AB28" s="7">
        <f t="shared" ca="1" si="6"/>
        <v>3.0378295758502028E-2</v>
      </c>
      <c r="AC28" s="17"/>
      <c r="AD28" s="20" vm="185">
        <f ca="1"/>
        <v>44866</v>
      </c>
      <c r="AE28" s="20" vm="191">
        <f ca="1"/>
        <v>11.901</v>
      </c>
      <c r="AF28" s="7">
        <f t="shared" ca="1" si="7"/>
        <v>4.4698818448357582E-2</v>
      </c>
      <c r="AG28" s="17"/>
    </row>
    <row r="29" spans="1:38" x14ac:dyDescent="0.2">
      <c r="A29">
        <v>23</v>
      </c>
      <c r="B29" s="20" vm="192">
        <f ca="1"/>
        <v>44896</v>
      </c>
      <c r="C29" s="20" vm="193">
        <f ca="1"/>
        <v>55.26</v>
      </c>
      <c r="D29" s="7">
        <f t="shared" ca="1" si="0"/>
        <v>-7.0323014804845221E-2</v>
      </c>
      <c r="E29" s="17"/>
      <c r="F29" s="20" vm="192">
        <f ca="1"/>
        <v>44896</v>
      </c>
      <c r="G29" s="20" vm="139">
        <f ca="1"/>
        <v>0.315</v>
      </c>
      <c r="H29" s="7">
        <f t="shared" ca="1" si="1"/>
        <v>-9.9999999999999936E-2</v>
      </c>
      <c r="I29" s="17"/>
      <c r="J29" s="20" vm="192">
        <f ca="1"/>
        <v>44896</v>
      </c>
      <c r="K29" s="20" vm="194">
        <f ca="1"/>
        <v>70.27</v>
      </c>
      <c r="L29" s="7">
        <f t="shared" ca="1" si="2"/>
        <v>-5.2378255945640505E-3</v>
      </c>
      <c r="M29" s="17"/>
      <c r="N29" s="20" vm="192">
        <f ca="1"/>
        <v>44896</v>
      </c>
      <c r="O29" s="20" vm="21">
        <f ca="1"/>
        <v>0.75</v>
      </c>
      <c r="P29" s="7">
        <f t="shared" ca="1" si="3"/>
        <v>9.4890510948905021E-2</v>
      </c>
      <c r="Q29" s="17"/>
      <c r="R29" s="20" vm="192">
        <f ca="1"/>
        <v>44896</v>
      </c>
      <c r="S29" s="20" vm="195">
        <f ca="1"/>
        <v>3.99</v>
      </c>
      <c r="T29" s="7">
        <f t="shared" ca="1" si="4"/>
        <v>2.5125628140704099E-3</v>
      </c>
      <c r="U29" s="17"/>
      <c r="V29" s="20" vm="192">
        <f ca="1"/>
        <v>44896</v>
      </c>
      <c r="W29" s="20" vm="189">
        <f ca="1"/>
        <v>4.8899999999999997</v>
      </c>
      <c r="X29" s="7">
        <f t="shared" ca="1" si="5"/>
        <v>0</v>
      </c>
      <c r="Y29" s="17"/>
      <c r="Z29" s="20" vm="192">
        <f ca="1"/>
        <v>44896</v>
      </c>
      <c r="AA29" s="20" vm="196">
        <f ca="1"/>
        <v>102.6</v>
      </c>
      <c r="AB29" s="7">
        <f t="shared" ca="1" si="6"/>
        <v>-4.8766920081587291E-2</v>
      </c>
      <c r="AC29" s="17"/>
      <c r="AD29" s="20" vm="192">
        <f ca="1"/>
        <v>44896</v>
      </c>
      <c r="AE29" s="20" vm="197">
        <f ca="1"/>
        <v>12.020799999999999</v>
      </c>
      <c r="AF29" s="7">
        <f t="shared" ca="1" si="7"/>
        <v>1.0066380976388513E-2</v>
      </c>
      <c r="AG29" s="17"/>
    </row>
    <row r="30" spans="1:38" x14ac:dyDescent="0.2">
      <c r="A30">
        <v>24</v>
      </c>
      <c r="B30" s="20" vm="198">
        <f ca="1"/>
        <v>44927</v>
      </c>
      <c r="C30" s="20" vm="199">
        <f ca="1"/>
        <v>66.849999999999994</v>
      </c>
      <c r="D30" s="7">
        <f t="shared" ca="1" si="0"/>
        <v>0.20973579442634813</v>
      </c>
      <c r="E30" s="17"/>
      <c r="F30" s="20" vm="198">
        <f ca="1"/>
        <v>44927</v>
      </c>
      <c r="G30" s="20" vm="200">
        <f ca="1"/>
        <v>0.29499999999999998</v>
      </c>
      <c r="H30" s="7">
        <f t="shared" ca="1" si="1"/>
        <v>-6.3492063492063544E-2</v>
      </c>
      <c r="I30" s="17"/>
      <c r="J30" s="20" vm="198">
        <f ca="1"/>
        <v>44927</v>
      </c>
      <c r="K30" s="20" vm="201">
        <f ca="1"/>
        <v>76.8</v>
      </c>
      <c r="L30" s="7">
        <f t="shared" ca="1" si="2"/>
        <v>9.2927280489540368E-2</v>
      </c>
      <c r="M30" s="17"/>
      <c r="N30" s="20" vm="198">
        <f ca="1"/>
        <v>44927</v>
      </c>
      <c r="O30" s="20" vm="202">
        <f ca="1"/>
        <v>0.83250000000000002</v>
      </c>
      <c r="P30" s="7">
        <f t="shared" ca="1" si="3"/>
        <v>0.11000000000000003</v>
      </c>
      <c r="Q30" s="17"/>
      <c r="R30" s="20" vm="198">
        <f ca="1"/>
        <v>44927</v>
      </c>
      <c r="S30" s="20" vm="203">
        <f ca="1"/>
        <v>4.08</v>
      </c>
      <c r="T30" s="7">
        <f t="shared" ca="1" si="4"/>
        <v>2.2556390977443573E-2</v>
      </c>
      <c r="U30" s="17"/>
      <c r="V30" s="20" vm="198">
        <f ca="1"/>
        <v>44927</v>
      </c>
      <c r="W30" s="20" vm="204">
        <f ca="1"/>
        <v>4.82</v>
      </c>
      <c r="X30" s="7">
        <f t="shared" ca="1" si="5"/>
        <v>-1.431492842535775E-2</v>
      </c>
      <c r="Y30" s="17"/>
      <c r="Z30" s="20" vm="198">
        <f ca="1"/>
        <v>44927</v>
      </c>
      <c r="AA30" s="20" vm="205">
        <f ca="1"/>
        <v>110.06</v>
      </c>
      <c r="AB30" s="7">
        <f t="shared" ca="1" si="6"/>
        <v>7.2709551656920154E-2</v>
      </c>
      <c r="AC30" s="17"/>
      <c r="AD30" s="20" vm="198">
        <f ca="1"/>
        <v>44927</v>
      </c>
      <c r="AE30" s="20" vm="206">
        <f ca="1"/>
        <v>12.51</v>
      </c>
      <c r="AF30" s="7">
        <f t="shared" ca="1" si="7"/>
        <v>4.0696126713696289E-2</v>
      </c>
      <c r="AG30" s="17"/>
    </row>
    <row r="31" spans="1:38" x14ac:dyDescent="0.2">
      <c r="A31">
        <v>25</v>
      </c>
      <c r="B31" s="20" vm="207">
        <f ca="1"/>
        <v>44958</v>
      </c>
      <c r="C31" s="20" vm="208">
        <f ca="1"/>
        <v>61.01</v>
      </c>
      <c r="D31" s="7">
        <f t="shared" ca="1" si="0"/>
        <v>-8.7359760658189928E-2</v>
      </c>
      <c r="E31" s="17"/>
      <c r="F31" s="20" vm="207">
        <f ca="1"/>
        <v>44958</v>
      </c>
      <c r="G31" s="20" vm="37">
        <f ca="1"/>
        <v>0.26500000000000001</v>
      </c>
      <c r="H31" s="7">
        <f t="shared" ca="1" si="1"/>
        <v>-0.1016949152542372</v>
      </c>
      <c r="I31" s="17"/>
      <c r="J31" s="20" vm="207">
        <f ca="1"/>
        <v>44958</v>
      </c>
      <c r="K31" s="20" vm="209">
        <f ca="1"/>
        <v>77.7</v>
      </c>
      <c r="L31" s="7">
        <f t="shared" ca="1" si="2"/>
        <v>1.1718750000000075E-2</v>
      </c>
      <c r="M31" s="17"/>
      <c r="N31" s="20" vm="207">
        <f ca="1"/>
        <v>44958</v>
      </c>
      <c r="O31" s="20" vm="210">
        <f ca="1"/>
        <v>0.8</v>
      </c>
      <c r="P31" s="7">
        <f t="shared" ca="1" si="3"/>
        <v>-3.9039039039039006E-2</v>
      </c>
      <c r="Q31" s="17"/>
      <c r="R31" s="20" vm="207">
        <f ca="1"/>
        <v>44958</v>
      </c>
      <c r="S31" s="20" vm="211">
        <f ca="1"/>
        <v>4.16</v>
      </c>
      <c r="T31" s="7">
        <f t="shared" ca="1" si="4"/>
        <v>1.9607843137254919E-2</v>
      </c>
      <c r="U31" s="17"/>
      <c r="V31" s="20" vm="207">
        <f ca="1"/>
        <v>44958</v>
      </c>
      <c r="W31" s="20" vm="212">
        <f ca="1"/>
        <v>5.07</v>
      </c>
      <c r="X31" s="7">
        <f t="shared" ca="1" si="5"/>
        <v>5.1867219917012444E-2</v>
      </c>
      <c r="Y31" s="17"/>
      <c r="Z31" s="20" vm="207">
        <f ca="1"/>
        <v>44958</v>
      </c>
      <c r="AA31" s="20" vm="213">
        <f ca="1"/>
        <v>100.69</v>
      </c>
      <c r="AB31" s="7">
        <f t="shared" ca="1" si="6"/>
        <v>-8.5135380701435615E-2</v>
      </c>
      <c r="AC31" s="17"/>
      <c r="AD31" s="20" vm="207">
        <f ca="1"/>
        <v>44958</v>
      </c>
      <c r="AE31" s="20" vm="214">
        <f ca="1"/>
        <v>12.829499999999999</v>
      </c>
      <c r="AF31" s="7">
        <f t="shared" ca="1" si="7"/>
        <v>2.5539568345323716E-2</v>
      </c>
      <c r="AG31" s="17"/>
    </row>
    <row r="32" spans="1:38" x14ac:dyDescent="0.2">
      <c r="A32">
        <v>26</v>
      </c>
      <c r="B32" s="20" vm="215">
        <f ca="1"/>
        <v>44986</v>
      </c>
      <c r="C32" s="20" vm="216">
        <f ca="1"/>
        <v>63.87</v>
      </c>
      <c r="D32" s="7">
        <f t="shared" ca="1" si="0"/>
        <v>4.6877561055564655E-2</v>
      </c>
      <c r="E32" s="17"/>
      <c r="F32" s="20" vm="215">
        <f ca="1"/>
        <v>44986</v>
      </c>
      <c r="G32" s="20" vm="217">
        <f ca="1"/>
        <v>0.245</v>
      </c>
      <c r="H32" s="7">
        <f t="shared" ca="1" si="1"/>
        <v>-7.5471698113207614E-2</v>
      </c>
      <c r="I32" s="17"/>
      <c r="J32" s="20" vm="215">
        <f ca="1"/>
        <v>44986</v>
      </c>
      <c r="K32" s="20" vm="218">
        <f ca="1"/>
        <v>89.42</v>
      </c>
      <c r="L32" s="7">
        <f t="shared" ca="1" si="2"/>
        <v>0.15083655083655081</v>
      </c>
      <c r="M32" s="17"/>
      <c r="N32" s="20" vm="215">
        <f ca="1"/>
        <v>44986</v>
      </c>
      <c r="O32" s="20" vm="219">
        <f ca="1"/>
        <v>0.84</v>
      </c>
      <c r="P32" s="7">
        <f t="shared" ca="1" si="3"/>
        <v>4.9999999999999906E-2</v>
      </c>
      <c r="Q32" s="17"/>
      <c r="R32" s="20" vm="215">
        <f ca="1"/>
        <v>44986</v>
      </c>
      <c r="S32" s="20" vm="220">
        <f ca="1"/>
        <v>4.22</v>
      </c>
      <c r="T32" s="7">
        <f t="shared" ca="1" si="4"/>
        <v>1.4423076923076828E-2</v>
      </c>
      <c r="U32" s="17"/>
      <c r="V32" s="20" vm="215">
        <f ca="1"/>
        <v>44986</v>
      </c>
      <c r="W32" s="20" vm="221">
        <f ca="1"/>
        <v>4.88</v>
      </c>
      <c r="X32" s="7">
        <f t="shared" ca="1" si="5"/>
        <v>-3.7475345167652933E-2</v>
      </c>
      <c r="Y32" s="17"/>
      <c r="Z32" s="20" vm="215">
        <f ca="1"/>
        <v>44986</v>
      </c>
      <c r="AA32" s="20" vm="222">
        <f ca="1"/>
        <v>98.32</v>
      </c>
      <c r="AB32" s="7">
        <f t="shared" ca="1" si="6"/>
        <v>-2.3537590624689686E-2</v>
      </c>
      <c r="AC32" s="17"/>
      <c r="AD32" s="20" vm="215">
        <f ca="1"/>
        <v>44986</v>
      </c>
      <c r="AE32" s="20" vm="223">
        <f ca="1"/>
        <v>12.0906</v>
      </c>
      <c r="AF32" s="7">
        <f t="shared" ca="1" si="7"/>
        <v>-5.7593826727463993E-2</v>
      </c>
      <c r="AG32" s="17"/>
    </row>
    <row r="33" spans="1:33" x14ac:dyDescent="0.2">
      <c r="A33">
        <v>27</v>
      </c>
      <c r="B33" s="20" vm="224">
        <f ca="1"/>
        <v>45017</v>
      </c>
      <c r="C33" s="20" vm="225">
        <f ca="1"/>
        <v>61.44</v>
      </c>
      <c r="D33" s="7">
        <f t="shared" ca="1" si="0"/>
        <v>-3.8046031000469702E-2</v>
      </c>
      <c r="E33" s="17"/>
      <c r="F33" s="20" vm="224">
        <f ca="1"/>
        <v>45017</v>
      </c>
      <c r="G33" s="20" vm="148">
        <f ca="1"/>
        <v>0.28000000000000003</v>
      </c>
      <c r="H33" s="7">
        <f t="shared" ca="1" si="1"/>
        <v>0.14285714285714299</v>
      </c>
      <c r="I33" s="17"/>
      <c r="J33" s="20" vm="224">
        <f ca="1"/>
        <v>45017</v>
      </c>
      <c r="K33" s="20" vm="226">
        <f ca="1"/>
        <v>93.34</v>
      </c>
      <c r="L33" s="7">
        <f t="shared" ca="1" si="2"/>
        <v>4.3838067546410217E-2</v>
      </c>
      <c r="M33" s="17"/>
      <c r="N33" s="20" vm="224">
        <f ca="1"/>
        <v>45017</v>
      </c>
      <c r="O33" s="20" vm="227">
        <f ca="1"/>
        <v>0.82</v>
      </c>
      <c r="P33" s="7">
        <f t="shared" ca="1" si="3"/>
        <v>-2.3809523809523832E-2</v>
      </c>
      <c r="Q33" s="17"/>
      <c r="R33" s="20" vm="224">
        <f ca="1"/>
        <v>45017</v>
      </c>
      <c r="S33" s="20" vm="228">
        <f ca="1"/>
        <v>4.37</v>
      </c>
      <c r="T33" s="7">
        <f t="shared" ca="1" si="4"/>
        <v>3.5545023696682554E-2</v>
      </c>
      <c r="U33" s="17"/>
      <c r="V33" s="20" vm="224">
        <f ca="1"/>
        <v>45017</v>
      </c>
      <c r="W33" s="20" vm="229">
        <f ca="1"/>
        <v>5.37</v>
      </c>
      <c r="X33" s="7">
        <f t="shared" ca="1" si="5"/>
        <v>0.10040983606557381</v>
      </c>
      <c r="Y33" s="17"/>
      <c r="Z33" s="20" vm="224">
        <f ca="1"/>
        <v>45017</v>
      </c>
      <c r="AA33" s="20" vm="230">
        <f ca="1"/>
        <v>99.36</v>
      </c>
      <c r="AB33" s="7">
        <f t="shared" ca="1" si="6"/>
        <v>1.0577705451586721E-2</v>
      </c>
      <c r="AC33" s="17"/>
      <c r="AD33" s="20" vm="224">
        <f ca="1"/>
        <v>45017</v>
      </c>
      <c r="AE33" s="20" vm="69">
        <f ca="1"/>
        <v>12.460100000000001</v>
      </c>
      <c r="AF33" s="7">
        <f t="shared" ca="1" si="7"/>
        <v>3.0560931632838767E-2</v>
      </c>
      <c r="AG33" s="17"/>
    </row>
    <row r="34" spans="1:33" x14ac:dyDescent="0.2">
      <c r="A34">
        <v>28</v>
      </c>
      <c r="B34" s="20" vm="231">
        <f ca="1"/>
        <v>45047</v>
      </c>
      <c r="C34" s="20" vm="232">
        <f ca="1"/>
        <v>59.35</v>
      </c>
      <c r="D34" s="7">
        <f t="shared" ca="1" si="0"/>
        <v>-3.4016927083333273E-2</v>
      </c>
      <c r="E34" s="17"/>
      <c r="F34" s="20" vm="231">
        <f ca="1"/>
        <v>45047</v>
      </c>
      <c r="G34" s="20" vm="233">
        <f ca="1"/>
        <v>0.25</v>
      </c>
      <c r="H34" s="7">
        <f t="shared" ca="1" si="1"/>
        <v>-0.10714285714285723</v>
      </c>
      <c r="I34" s="17"/>
      <c r="J34" s="20" vm="231">
        <f ca="1"/>
        <v>45047</v>
      </c>
      <c r="K34" s="20" vm="234">
        <f ca="1"/>
        <v>109.95</v>
      </c>
      <c r="L34" s="7">
        <f t="shared" ca="1" si="2"/>
        <v>0.17795157488750801</v>
      </c>
      <c r="M34" s="17"/>
      <c r="N34" s="20" vm="231">
        <f ca="1"/>
        <v>45047</v>
      </c>
      <c r="O34" s="20" vm="235">
        <f ca="1"/>
        <v>0.78500000000000003</v>
      </c>
      <c r="P34" s="7">
        <f t="shared" ca="1" si="3"/>
        <v>-4.2682926829268199E-2</v>
      </c>
      <c r="Q34" s="17"/>
      <c r="R34" s="20" vm="231">
        <f ca="1"/>
        <v>45047</v>
      </c>
      <c r="S34" s="20" vm="236">
        <f ca="1"/>
        <v>4.3600000000000003</v>
      </c>
      <c r="T34" s="7">
        <f t="shared" ca="1" si="4"/>
        <v>-2.2883295194507519E-3</v>
      </c>
      <c r="U34" s="17"/>
      <c r="V34" s="20" vm="231">
        <f ca="1"/>
        <v>45047</v>
      </c>
      <c r="W34" s="20" vm="237">
        <f ca="1"/>
        <v>5.47</v>
      </c>
      <c r="X34" s="7">
        <f t="shared" ca="1" si="5"/>
        <v>1.8621973929236431E-2</v>
      </c>
      <c r="Y34" s="17"/>
      <c r="Z34" s="20" vm="231">
        <f ca="1"/>
        <v>45047</v>
      </c>
      <c r="AA34" s="20" vm="238">
        <f ca="1"/>
        <v>96.78</v>
      </c>
      <c r="AB34" s="7">
        <f t="shared" ca="1" si="6"/>
        <v>-2.5966183574879211E-2</v>
      </c>
      <c r="AC34" s="17"/>
      <c r="AD34" s="20" vm="231">
        <f ca="1"/>
        <v>45047</v>
      </c>
      <c r="AE34" s="20" vm="239">
        <f ca="1"/>
        <v>13.278700000000001</v>
      </c>
      <c r="AF34" s="7">
        <f t="shared" ca="1" si="7"/>
        <v>6.569770708100256E-2</v>
      </c>
      <c r="AG34" s="17"/>
    </row>
    <row r="35" spans="1:33" x14ac:dyDescent="0.2">
      <c r="A35">
        <v>29</v>
      </c>
      <c r="B35" s="20" vm="240">
        <f ca="1"/>
        <v>45078</v>
      </c>
      <c r="C35" s="20" vm="241">
        <f ca="1"/>
        <v>65.64</v>
      </c>
      <c r="D35" s="7">
        <f t="shared" ca="1" si="0"/>
        <v>0.10598146588037066</v>
      </c>
      <c r="E35" s="17"/>
      <c r="F35" s="20" vm="240">
        <f ca="1"/>
        <v>45078</v>
      </c>
      <c r="G35" s="20" vm="242">
        <f ca="1"/>
        <v>0.23499999999999999</v>
      </c>
      <c r="H35" s="7">
        <f t="shared" ca="1" si="1"/>
        <v>-6.0000000000000053E-2</v>
      </c>
      <c r="I35" s="17"/>
      <c r="J35" s="20" vm="240">
        <f ca="1"/>
        <v>45078</v>
      </c>
      <c r="K35" s="20" vm="243">
        <f ca="1"/>
        <v>118.93</v>
      </c>
      <c r="L35" s="7">
        <f t="shared" ca="1" si="2"/>
        <v>8.1673487949067786E-2</v>
      </c>
      <c r="M35" s="17"/>
      <c r="N35" s="20" vm="240">
        <f ca="1"/>
        <v>45078</v>
      </c>
      <c r="O35" s="20" vm="244">
        <f ca="1"/>
        <v>0.76500000000000001</v>
      </c>
      <c r="P35" s="7">
        <f t="shared" ca="1" si="3"/>
        <v>-2.5477707006369449E-2</v>
      </c>
      <c r="Q35" s="17"/>
      <c r="R35" s="20" vm="240">
        <f ca="1"/>
        <v>45078</v>
      </c>
      <c r="S35" s="20" vm="245">
        <f ca="1"/>
        <v>4.3</v>
      </c>
      <c r="T35" s="7">
        <f t="shared" ca="1" si="4"/>
        <v>-1.376146788990837E-2</v>
      </c>
      <c r="U35" s="17"/>
      <c r="V35" s="20" vm="240">
        <f ca="1"/>
        <v>45078</v>
      </c>
      <c r="W35" s="20" vm="246">
        <f ca="1"/>
        <v>4.87</v>
      </c>
      <c r="X35" s="7">
        <f t="shared" ca="1" si="5"/>
        <v>-0.10968921389396703</v>
      </c>
      <c r="Y35" s="17"/>
      <c r="Z35" s="20" vm="240">
        <f ca="1"/>
        <v>45078</v>
      </c>
      <c r="AA35" s="20" vm="247">
        <f ca="1"/>
        <v>100.27</v>
      </c>
      <c r="AB35" s="7">
        <f t="shared" ca="1" si="6"/>
        <v>3.6061169663153488E-2</v>
      </c>
      <c r="AC35" s="17"/>
      <c r="AD35" s="20" vm="240">
        <f ca="1"/>
        <v>45078</v>
      </c>
      <c r="AE35" s="20" vm="248">
        <f ca="1"/>
        <v>13.468400000000001</v>
      </c>
      <c r="AF35" s="7">
        <f t="shared" ca="1" si="7"/>
        <v>1.4286037036758131E-2</v>
      </c>
      <c r="AG35" s="17"/>
    </row>
    <row r="36" spans="1:33" x14ac:dyDescent="0.2">
      <c r="A36">
        <v>30</v>
      </c>
      <c r="B36" s="20" vm="249">
        <f ca="1"/>
        <v>45108</v>
      </c>
      <c r="C36" s="20" vm="250">
        <f ca="1"/>
        <v>68.790000000000006</v>
      </c>
      <c r="D36" s="7">
        <f t="shared" ca="1" si="0"/>
        <v>4.7989031078610689E-2</v>
      </c>
      <c r="E36" s="17"/>
      <c r="F36" s="20" vm="249">
        <f ca="1"/>
        <v>45108</v>
      </c>
      <c r="G36" s="20" vm="251">
        <f ca="1"/>
        <v>0.23</v>
      </c>
      <c r="H36" s="7">
        <f t="shared" ca="1" si="1"/>
        <v>-2.1276595744680753E-2</v>
      </c>
      <c r="I36" s="17"/>
      <c r="J36" s="20" vm="249">
        <f ca="1"/>
        <v>45108</v>
      </c>
      <c r="K36" s="20" vm="252">
        <f ca="1"/>
        <v>122.21</v>
      </c>
      <c r="L36" s="7">
        <f t="shared" ca="1" si="2"/>
        <v>2.757924829731764E-2</v>
      </c>
      <c r="M36" s="17"/>
      <c r="N36" s="20" vm="249">
        <f ca="1"/>
        <v>45108</v>
      </c>
      <c r="O36" s="20" vm="227">
        <f ca="1"/>
        <v>0.82</v>
      </c>
      <c r="P36" s="7">
        <f t="shared" ca="1" si="3"/>
        <v>7.1895424836601218E-2</v>
      </c>
      <c r="Q36" s="17"/>
      <c r="R36" s="20" vm="249">
        <f ca="1"/>
        <v>45108</v>
      </c>
      <c r="S36" s="20" vm="253">
        <f ca="1"/>
        <v>4.26</v>
      </c>
      <c r="T36" s="7">
        <f t="shared" ca="1" si="4"/>
        <v>-9.3023255813953574E-3</v>
      </c>
      <c r="U36" s="17"/>
      <c r="V36" s="20" vm="249">
        <f ca="1"/>
        <v>45108</v>
      </c>
      <c r="W36" s="20" vm="254">
        <f ca="1"/>
        <v>5.0199999999999996</v>
      </c>
      <c r="X36" s="7">
        <f t="shared" ca="1" si="5"/>
        <v>3.0800821355236031E-2</v>
      </c>
      <c r="Y36" s="17"/>
      <c r="Z36" s="20" vm="249">
        <f ca="1"/>
        <v>45108</v>
      </c>
      <c r="AA36" s="20" vm="255">
        <f ca="1"/>
        <v>105.71</v>
      </c>
      <c r="AB36" s="7">
        <f t="shared" ca="1" si="6"/>
        <v>5.4253515508128035E-2</v>
      </c>
      <c r="AC36" s="17"/>
      <c r="AD36" s="20" vm="249">
        <f ca="1"/>
        <v>45108</v>
      </c>
      <c r="AE36" s="20" vm="256">
        <f ca="1"/>
        <v>14.2073</v>
      </c>
      <c r="AF36" s="7">
        <f t="shared" ca="1" si="7"/>
        <v>5.4861750467761511E-2</v>
      </c>
      <c r="AG36" s="17"/>
    </row>
    <row r="37" spans="1:33" x14ac:dyDescent="0.2">
      <c r="A37">
        <v>31</v>
      </c>
      <c r="B37" s="20" vm="257">
        <f ca="1"/>
        <v>45139</v>
      </c>
      <c r="C37" s="20" vm="258">
        <f ca="1"/>
        <v>73.319999999999993</v>
      </c>
      <c r="D37" s="7">
        <f t="shared" ca="1" si="0"/>
        <v>6.585259485390299E-2</v>
      </c>
      <c r="E37" s="17"/>
      <c r="F37" s="20" vm="257">
        <f ca="1"/>
        <v>45139</v>
      </c>
      <c r="G37" s="20" vm="259">
        <f ca="1"/>
        <v>0.19</v>
      </c>
      <c r="H37" s="7">
        <f t="shared" ca="1" si="1"/>
        <v>-0.17391304347826089</v>
      </c>
      <c r="I37" s="17"/>
      <c r="J37" s="20" vm="257">
        <f ca="1"/>
        <v>45139</v>
      </c>
      <c r="K37" s="20" vm="260">
        <f ca="1"/>
        <v>125.1</v>
      </c>
      <c r="L37" s="7">
        <f t="shared" ca="1" si="2"/>
        <v>2.3647819327387291E-2</v>
      </c>
      <c r="M37" s="17"/>
      <c r="N37" s="20" vm="257">
        <f ca="1"/>
        <v>45139</v>
      </c>
      <c r="O37" s="20" vm="261">
        <f ca="1"/>
        <v>0.84499999999999997</v>
      </c>
      <c r="P37" s="7">
        <f t="shared" ca="1" si="3"/>
        <v>3.0487804878048811E-2</v>
      </c>
      <c r="Q37" s="17"/>
      <c r="R37" s="20" vm="257">
        <f ca="1"/>
        <v>45139</v>
      </c>
      <c r="S37" s="20" vm="262">
        <f ca="1"/>
        <v>4.01</v>
      </c>
      <c r="T37" s="7">
        <f t="shared" ca="1" si="4"/>
        <v>-5.8685446009389672E-2</v>
      </c>
      <c r="U37" s="17"/>
      <c r="V37" s="20" vm="257">
        <f ca="1"/>
        <v>45139</v>
      </c>
      <c r="W37" s="20" vm="263">
        <f ca="1"/>
        <v>5.63</v>
      </c>
      <c r="X37" s="7">
        <f t="shared" ca="1" si="5"/>
        <v>0.12151394422310764</v>
      </c>
      <c r="Y37" s="17"/>
      <c r="Z37" s="20" vm="257">
        <f ca="1"/>
        <v>45139</v>
      </c>
      <c r="AA37" s="20" vm="264">
        <f ca="1"/>
        <v>102.18</v>
      </c>
      <c r="AB37" s="7">
        <f t="shared" ca="1" si="6"/>
        <v>-3.3393245672121721E-2</v>
      </c>
      <c r="AC37" s="17"/>
      <c r="AD37" s="20" vm="257">
        <f ca="1"/>
        <v>45139</v>
      </c>
      <c r="AE37" s="20" vm="265">
        <f ca="1"/>
        <v>13.6082</v>
      </c>
      <c r="AF37" s="7">
        <f t="shared" ca="1" si="7"/>
        <v>-4.2168462691714821E-2</v>
      </c>
      <c r="AG37" s="17"/>
    </row>
    <row r="38" spans="1:33" x14ac:dyDescent="0.2">
      <c r="A38">
        <v>32</v>
      </c>
      <c r="B38" s="20" vm="266">
        <f ca="1"/>
        <v>45170</v>
      </c>
      <c r="C38" s="20" vm="267">
        <f ca="1"/>
        <v>83.39</v>
      </c>
      <c r="D38" s="7">
        <f t="shared" ca="1" si="0"/>
        <v>0.13734315330060023</v>
      </c>
      <c r="E38" s="17"/>
      <c r="F38" s="20" vm="266">
        <f ca="1"/>
        <v>45170</v>
      </c>
      <c r="G38" s="20" vm="268">
        <f ca="1"/>
        <v>0.17</v>
      </c>
      <c r="H38" s="7">
        <f t="shared" ca="1" si="1"/>
        <v>-0.10526315789473679</v>
      </c>
      <c r="I38" s="17"/>
      <c r="J38" s="20" vm="266">
        <f ca="1"/>
        <v>45170</v>
      </c>
      <c r="K38" s="20" vm="269">
        <f ca="1"/>
        <v>112.43</v>
      </c>
      <c r="L38" s="7">
        <f t="shared" ca="1" si="2"/>
        <v>-0.10127897681854507</v>
      </c>
      <c r="M38" s="17"/>
      <c r="N38" s="20" vm="266">
        <f ca="1"/>
        <v>45170</v>
      </c>
      <c r="O38" s="20" vm="270">
        <f ca="1"/>
        <v>0.88500000000000001</v>
      </c>
      <c r="P38" s="7">
        <f t="shared" ca="1" si="3"/>
        <v>4.7337278106508916E-2</v>
      </c>
      <c r="Q38" s="17"/>
      <c r="R38" s="20" vm="266">
        <f ca="1"/>
        <v>45170</v>
      </c>
      <c r="S38" s="20" vm="151">
        <f ca="1"/>
        <v>3.85</v>
      </c>
      <c r="T38" s="7">
        <f t="shared" ca="1" si="4"/>
        <v>-3.9900249376558533E-2</v>
      </c>
      <c r="U38" s="17"/>
      <c r="V38" s="20" vm="266">
        <f ca="1"/>
        <v>45170</v>
      </c>
      <c r="W38" s="20" vm="271">
        <f ca="1"/>
        <v>5.46</v>
      </c>
      <c r="X38" s="7">
        <f t="shared" ca="1" si="5"/>
        <v>-3.0195381882770857E-2</v>
      </c>
      <c r="Y38" s="17"/>
      <c r="Z38" s="20" vm="266">
        <f ca="1"/>
        <v>45170</v>
      </c>
      <c r="AA38" s="20" vm="272">
        <f ca="1"/>
        <v>99.97</v>
      </c>
      <c r="AB38" s="7">
        <f t="shared" ca="1" si="6"/>
        <v>-2.1628498727735444E-2</v>
      </c>
      <c r="AC38" s="17"/>
      <c r="AD38" s="20" vm="266">
        <f ca="1"/>
        <v>45170</v>
      </c>
      <c r="AE38" s="20" vm="273">
        <f ca="1"/>
        <v>13.947699999999999</v>
      </c>
      <c r="AF38" s="7">
        <f t="shared" ca="1" si="7"/>
        <v>2.4948193001278585E-2</v>
      </c>
      <c r="AG38" s="17"/>
    </row>
    <row r="39" spans="1:33" x14ac:dyDescent="0.2">
      <c r="A39">
        <v>33</v>
      </c>
      <c r="B39" s="20" vm="274">
        <f ca="1"/>
        <v>45200</v>
      </c>
      <c r="C39" s="20" vm="275">
        <f ca="1"/>
        <v>74.540000000000006</v>
      </c>
      <c r="D39" s="7">
        <f t="shared" ca="1" si="0"/>
        <v>-0.10612783307350994</v>
      </c>
      <c r="E39" s="17"/>
      <c r="F39" s="20" vm="274">
        <f ca="1"/>
        <v>45200</v>
      </c>
      <c r="G39" s="20" vm="276">
        <f ca="1"/>
        <v>0.18</v>
      </c>
      <c r="H39" s="7">
        <f t="shared" ca="1" si="1"/>
        <v>5.8823529411764594E-2</v>
      </c>
      <c r="I39" s="17"/>
      <c r="J39" s="20" vm="274">
        <f ca="1"/>
        <v>45200</v>
      </c>
      <c r="K39" s="20" vm="277">
        <f ca="1"/>
        <v>106.69</v>
      </c>
      <c r="L39" s="7">
        <f t="shared" ca="1" si="2"/>
        <v>-5.1053989148803776E-2</v>
      </c>
      <c r="M39" s="17"/>
      <c r="N39" s="20" vm="274">
        <f ca="1"/>
        <v>45200</v>
      </c>
      <c r="O39" s="20" vm="261">
        <f ca="1"/>
        <v>0.84499999999999997</v>
      </c>
      <c r="P39" s="7">
        <f t="shared" ca="1" si="3"/>
        <v>-4.5197740112994392E-2</v>
      </c>
      <c r="Q39" s="17"/>
      <c r="R39" s="20" vm="274">
        <f ca="1"/>
        <v>45200</v>
      </c>
      <c r="S39" s="20" vm="278">
        <f ca="1"/>
        <v>3.81</v>
      </c>
      <c r="T39" s="7">
        <f t="shared" ca="1" si="4"/>
        <v>-1.0389610389610398E-2</v>
      </c>
      <c r="U39" s="17"/>
      <c r="V39" s="20" vm="274">
        <f ca="1"/>
        <v>45200</v>
      </c>
      <c r="W39" s="20" vm="279">
        <f ca="1"/>
        <v>5.18</v>
      </c>
      <c r="X39" s="7">
        <f t="shared" ca="1" si="5"/>
        <v>-5.1282051282051329E-2</v>
      </c>
      <c r="Y39" s="17"/>
      <c r="Z39" s="20" vm="274">
        <f ca="1"/>
        <v>45200</v>
      </c>
      <c r="AA39" s="20" vm="280">
        <f ca="1"/>
        <v>96.56</v>
      </c>
      <c r="AB39" s="7">
        <f t="shared" ca="1" si="6"/>
        <v>-3.4110233069920941E-2</v>
      </c>
      <c r="AC39" s="17"/>
      <c r="AD39" s="20" vm="274">
        <f ca="1"/>
        <v>45200</v>
      </c>
      <c r="AE39" s="20" vm="281">
        <f ca="1"/>
        <v>13.358599999999999</v>
      </c>
      <c r="AF39" s="7">
        <f t="shared" ca="1" si="7"/>
        <v>-4.2236354381009068E-2</v>
      </c>
      <c r="AG39" s="17"/>
    </row>
    <row r="40" spans="1:33" x14ac:dyDescent="0.2">
      <c r="A40">
        <v>34</v>
      </c>
      <c r="B40" s="20" vm="282">
        <f ca="1"/>
        <v>45231</v>
      </c>
      <c r="C40" s="20" vm="283">
        <f ca="1"/>
        <v>88.41</v>
      </c>
      <c r="D40" s="7">
        <f t="shared" ca="1" si="0"/>
        <v>0.18607459082371866</v>
      </c>
      <c r="E40" s="17"/>
      <c r="F40" s="20" vm="282">
        <f ca="1"/>
        <v>45231</v>
      </c>
      <c r="G40" s="20" vm="259">
        <f ca="1"/>
        <v>0.19</v>
      </c>
      <c r="H40" s="7">
        <f t="shared" ca="1" si="1"/>
        <v>5.5555555555555608E-2</v>
      </c>
      <c r="I40" s="17"/>
      <c r="J40" s="20" vm="282">
        <f ca="1"/>
        <v>45231</v>
      </c>
      <c r="K40" s="20" vm="284">
        <f ca="1"/>
        <v>103.05</v>
      </c>
      <c r="L40" s="7">
        <f t="shared" ca="1" si="2"/>
        <v>-3.4117536788827452E-2</v>
      </c>
      <c r="M40" s="17"/>
      <c r="N40" s="20" vm="282">
        <f ca="1"/>
        <v>45231</v>
      </c>
      <c r="O40" s="20" vm="219">
        <f ca="1"/>
        <v>0.84</v>
      </c>
      <c r="P40" s="7">
        <f t="shared" ca="1" si="3"/>
        <v>-5.9171597633136145E-3</v>
      </c>
      <c r="Q40" s="17"/>
      <c r="R40" s="20" vm="282">
        <f ca="1"/>
        <v>45231</v>
      </c>
      <c r="S40" s="20" vm="84">
        <f ca="1"/>
        <v>3.82</v>
      </c>
      <c r="T40" s="7">
        <f t="shared" ca="1" si="4"/>
        <v>2.6246719160104427E-3</v>
      </c>
      <c r="U40" s="17"/>
      <c r="V40" s="20" vm="282">
        <f ca="1"/>
        <v>45231</v>
      </c>
      <c r="W40" s="20" vm="285">
        <f ca="1"/>
        <v>4.72</v>
      </c>
      <c r="X40" s="7">
        <f t="shared" ca="1" si="5"/>
        <v>-8.8803088803088806E-2</v>
      </c>
      <c r="Y40" s="17"/>
      <c r="Z40" s="20" vm="282">
        <f ca="1"/>
        <v>45231</v>
      </c>
      <c r="AA40" s="20" vm="286">
        <f ca="1"/>
        <v>104.66</v>
      </c>
      <c r="AB40" s="7">
        <f t="shared" ca="1" si="6"/>
        <v>8.3885666942833406E-2</v>
      </c>
      <c r="AC40" s="17"/>
      <c r="AD40" s="20" vm="282">
        <f ca="1"/>
        <v>45231</v>
      </c>
      <c r="AE40" s="20" vm="273">
        <f ca="1"/>
        <v>13.947699999999999</v>
      </c>
      <c r="AF40" s="7">
        <f t="shared" ca="1" si="7"/>
        <v>4.4098932522869179E-2</v>
      </c>
      <c r="AG40" s="17"/>
    </row>
    <row r="41" spans="1:33" x14ac:dyDescent="0.2">
      <c r="A41">
        <v>35</v>
      </c>
      <c r="B41" s="20" vm="287">
        <f ca="1"/>
        <v>45261</v>
      </c>
      <c r="C41" s="20" vm="288">
        <f ca="1"/>
        <v>95.83</v>
      </c>
      <c r="D41" s="7">
        <f t="shared" ca="1" si="0"/>
        <v>8.3927157561361862E-2</v>
      </c>
      <c r="E41" s="17"/>
      <c r="F41" s="20" vm="287">
        <f ca="1"/>
        <v>45261</v>
      </c>
      <c r="G41" s="20" vm="28">
        <f ca="1"/>
        <v>0.22500000000000001</v>
      </c>
      <c r="H41" s="7">
        <f t="shared" ca="1" si="1"/>
        <v>0.18421052631578949</v>
      </c>
      <c r="I41" s="17"/>
      <c r="J41" s="20" vm="287">
        <f ca="1"/>
        <v>45261</v>
      </c>
      <c r="K41" s="20" vm="289">
        <f ca="1"/>
        <v>112.3</v>
      </c>
      <c r="L41" s="7">
        <f t="shared" ca="1" si="2"/>
        <v>8.9762251334303739E-2</v>
      </c>
      <c r="M41" s="17"/>
      <c r="N41" s="20" vm="287">
        <f ca="1"/>
        <v>45261</v>
      </c>
      <c r="O41" s="20" vm="290">
        <f ca="1"/>
        <v>0.99</v>
      </c>
      <c r="P41" s="7">
        <f t="shared" ca="1" si="3"/>
        <v>0.1785714285714286</v>
      </c>
      <c r="Q41" s="17"/>
      <c r="R41" s="20" vm="287">
        <f ca="1"/>
        <v>45261</v>
      </c>
      <c r="S41" s="20" vm="117">
        <f ca="1"/>
        <v>3.96</v>
      </c>
      <c r="T41" s="7">
        <f t="shared" ca="1" si="4"/>
        <v>3.6649214659685896E-2</v>
      </c>
      <c r="U41" s="17"/>
      <c r="V41" s="20" vm="287">
        <f ca="1"/>
        <v>45261</v>
      </c>
      <c r="W41" s="20" vm="279">
        <f ca="1"/>
        <v>5.18</v>
      </c>
      <c r="X41" s="7">
        <f t="shared" ca="1" si="5"/>
        <v>9.7457627118644072E-2</v>
      </c>
      <c r="Y41" s="17"/>
      <c r="Z41" s="20" vm="287">
        <f ca="1"/>
        <v>45261</v>
      </c>
      <c r="AA41" s="20" vm="291">
        <f ca="1"/>
        <v>111.8</v>
      </c>
      <c r="AB41" s="7">
        <f t="shared" ca="1" si="6"/>
        <v>6.8220905790177727E-2</v>
      </c>
      <c r="AC41" s="17"/>
      <c r="AD41" s="20" vm="287">
        <f ca="1"/>
        <v>45261</v>
      </c>
      <c r="AE41" s="20" vm="292">
        <f ca="1"/>
        <v>13.8279</v>
      </c>
      <c r="AF41" s="7">
        <f t="shared" ca="1" si="7"/>
        <v>-8.5892297654810244E-3</v>
      </c>
      <c r="AG41" s="17"/>
    </row>
    <row r="42" spans="1:33" x14ac:dyDescent="0.2">
      <c r="A42">
        <v>36</v>
      </c>
      <c r="B42" s="20" vm="293">
        <f ca="1"/>
        <v>45292</v>
      </c>
      <c r="C42" s="20" vm="294">
        <f ca="1"/>
        <v>101.56</v>
      </c>
      <c r="D42" s="7">
        <f t="shared" ca="1" si="0"/>
        <v>5.9793384117708487E-2</v>
      </c>
      <c r="E42" s="17"/>
      <c r="F42" s="20" vm="293">
        <f ca="1"/>
        <v>45292</v>
      </c>
      <c r="G42" s="20" vm="295">
        <f ca="1"/>
        <v>0.215</v>
      </c>
      <c r="H42" s="7">
        <f t="shared" ca="1" si="1"/>
        <v>-4.4444444444444481E-2</v>
      </c>
      <c r="I42" s="17"/>
      <c r="J42" s="20" vm="293">
        <f ca="1"/>
        <v>45292</v>
      </c>
      <c r="K42" s="20" vm="296">
        <f ca="1"/>
        <v>110.79</v>
      </c>
      <c r="L42" s="7">
        <f t="shared" ca="1" si="2"/>
        <v>-1.3446126447016838E-2</v>
      </c>
      <c r="M42" s="17"/>
      <c r="N42" s="20" vm="293">
        <f ca="1"/>
        <v>45292</v>
      </c>
      <c r="O42" s="20" vm="297">
        <f ca="1"/>
        <v>0.92500000000000004</v>
      </c>
      <c r="P42" s="7">
        <f t="shared" ca="1" si="3"/>
        <v>-6.5656565656565608E-2</v>
      </c>
      <c r="Q42" s="17"/>
      <c r="R42" s="20" vm="293">
        <f ca="1"/>
        <v>45292</v>
      </c>
      <c r="S42" s="20" vm="133">
        <f ca="1"/>
        <v>4.04</v>
      </c>
      <c r="T42" s="7">
        <f t="shared" ca="1" si="4"/>
        <v>2.0202020202020221E-2</v>
      </c>
      <c r="U42" s="17"/>
      <c r="V42" s="20" vm="293">
        <f ca="1"/>
        <v>45292</v>
      </c>
      <c r="W42" s="20" vm="298">
        <f ca="1"/>
        <v>5.29</v>
      </c>
      <c r="X42" s="7">
        <f t="shared" ca="1" si="5"/>
        <v>2.1235521235521297E-2</v>
      </c>
      <c r="Y42" s="17"/>
      <c r="Z42" s="20" vm="293">
        <f ca="1"/>
        <v>45292</v>
      </c>
      <c r="AA42" s="20" vm="299">
        <f ca="1"/>
        <v>117.53</v>
      </c>
      <c r="AB42" s="7">
        <f t="shared" ca="1" si="6"/>
        <v>5.1252236135957106E-2</v>
      </c>
      <c r="AC42" s="17"/>
      <c r="AD42" s="20" vm="293">
        <f ca="1"/>
        <v>45292</v>
      </c>
      <c r="AE42" s="20" vm="300">
        <f ca="1"/>
        <v>14.167299999999999</v>
      </c>
      <c r="AF42" s="7">
        <f t="shared" ca="1" si="7"/>
        <v>2.4544580160400314E-2</v>
      </c>
      <c r="AG42" s="17"/>
    </row>
    <row r="43" spans="1:33" x14ac:dyDescent="0.2">
      <c r="A43">
        <v>37</v>
      </c>
      <c r="B43" s="20" vm="301">
        <f ca="1"/>
        <v>45323</v>
      </c>
      <c r="C43" s="20" vm="302">
        <f ca="1"/>
        <v>103.82</v>
      </c>
      <c r="D43" s="7">
        <f t="shared" ca="1" si="0"/>
        <v>2.2252855454903415E-2</v>
      </c>
      <c r="E43" s="17"/>
      <c r="F43" s="20" vm="301">
        <f ca="1"/>
        <v>45323</v>
      </c>
      <c r="G43" s="20" vm="303">
        <f ca="1"/>
        <v>0.20499999999999999</v>
      </c>
      <c r="H43" s="7">
        <f t="shared" ca="1" si="1"/>
        <v>-4.6511627906976785E-2</v>
      </c>
      <c r="I43" s="17"/>
      <c r="J43" s="20" vm="301">
        <f ca="1"/>
        <v>45323</v>
      </c>
      <c r="K43" s="20" vm="304">
        <f ca="1"/>
        <v>127.31</v>
      </c>
      <c r="L43" s="7">
        <f t="shared" ca="1" si="2"/>
        <v>0.14911093058940333</v>
      </c>
      <c r="M43" s="17"/>
      <c r="N43" s="20" vm="301">
        <f ca="1"/>
        <v>45323</v>
      </c>
      <c r="O43" s="20" vm="305">
        <f ca="1"/>
        <v>1.02</v>
      </c>
      <c r="P43" s="7">
        <f t="shared" ca="1" si="3"/>
        <v>0.10270270270270267</v>
      </c>
      <c r="Q43" s="17"/>
      <c r="R43" s="20" vm="301">
        <f ca="1"/>
        <v>45323</v>
      </c>
      <c r="S43" s="20" vm="84">
        <f ca="1"/>
        <v>3.82</v>
      </c>
      <c r="T43" s="7">
        <f t="shared" ca="1" si="4"/>
        <v>-5.4455445544554504E-2</v>
      </c>
      <c r="U43" s="17"/>
      <c r="V43" s="20" vm="301">
        <f ca="1"/>
        <v>45323</v>
      </c>
      <c r="W43" s="20" vm="306">
        <f ca="1"/>
        <v>4.6900000000000004</v>
      </c>
      <c r="X43" s="7">
        <f t="shared" ca="1" si="5"/>
        <v>-0.11342155009451789</v>
      </c>
      <c r="Y43" s="17"/>
      <c r="Z43" s="20" vm="301">
        <f ca="1"/>
        <v>45323</v>
      </c>
      <c r="AA43" s="20" vm="307">
        <f ca="1"/>
        <v>116.41</v>
      </c>
      <c r="AB43" s="7">
        <f t="shared" ca="1" si="6"/>
        <v>-9.5294818344252921E-3</v>
      </c>
      <c r="AC43" s="17"/>
      <c r="AD43" s="20" vm="301">
        <f ca="1"/>
        <v>45323</v>
      </c>
      <c r="AE43" s="20" vm="308">
        <f ca="1"/>
        <v>15.275600000000001</v>
      </c>
      <c r="AF43" s="7">
        <f t="shared" ca="1" si="7"/>
        <v>7.8229443860156955E-2</v>
      </c>
      <c r="AG43" s="17"/>
    </row>
    <row r="44" spans="1:33" x14ac:dyDescent="0.2">
      <c r="A44">
        <v>38</v>
      </c>
      <c r="B44" s="20" vm="309">
        <f ca="1"/>
        <v>45352</v>
      </c>
      <c r="C44" s="20" vm="310">
        <f ca="1"/>
        <v>103.75</v>
      </c>
      <c r="D44" s="7">
        <f t="shared" ca="1" si="0"/>
        <v>-6.7424388364470411E-4</v>
      </c>
      <c r="E44" s="17"/>
      <c r="F44" s="20" vm="309">
        <f ca="1"/>
        <v>45352</v>
      </c>
      <c r="G44" s="20" vm="311">
        <f ca="1"/>
        <v>0.31</v>
      </c>
      <c r="H44" s="7">
        <f t="shared" ca="1" si="1"/>
        <v>0.51219512195121963</v>
      </c>
      <c r="I44" s="17"/>
      <c r="J44" s="20" vm="309">
        <f ca="1"/>
        <v>45352</v>
      </c>
      <c r="K44" s="20" vm="312">
        <f ca="1"/>
        <v>133.32</v>
      </c>
      <c r="L44" s="7">
        <f t="shared" ca="1" si="2"/>
        <v>4.7207603487550001E-2</v>
      </c>
      <c r="M44" s="17"/>
      <c r="N44" s="20" vm="309">
        <f ca="1"/>
        <v>45352</v>
      </c>
      <c r="O44" s="20" vm="313">
        <f ca="1"/>
        <v>0.98499999999999999</v>
      </c>
      <c r="P44" s="7">
        <f t="shared" ca="1" si="3"/>
        <v>-3.4313725490196109E-2</v>
      </c>
      <c r="Q44" s="17"/>
      <c r="R44" s="20" vm="309">
        <f ca="1"/>
        <v>45352</v>
      </c>
      <c r="S44" s="20" vm="314">
        <f ca="1"/>
        <v>3.86</v>
      </c>
      <c r="T44" s="7">
        <f t="shared" ca="1" si="4"/>
        <v>1.0471204188481685E-2</v>
      </c>
      <c r="U44" s="17"/>
      <c r="V44" s="20" vm="309">
        <f ca="1"/>
        <v>45352</v>
      </c>
      <c r="W44" s="20" vm="315">
        <f ca="1"/>
        <v>4.51</v>
      </c>
      <c r="X44" s="7">
        <f t="shared" ca="1" si="5"/>
        <v>-3.8379530916844477E-2</v>
      </c>
      <c r="Y44" s="17"/>
      <c r="Z44" s="20" vm="309">
        <f ca="1"/>
        <v>45352</v>
      </c>
      <c r="AA44" s="20" vm="316">
        <f ca="1"/>
        <v>120.34</v>
      </c>
      <c r="AB44" s="7">
        <f t="shared" ca="1" si="6"/>
        <v>3.3759986255476396E-2</v>
      </c>
      <c r="AC44" s="17"/>
      <c r="AD44" s="20" vm="309">
        <f ca="1"/>
        <v>45352</v>
      </c>
      <c r="AE44" s="20" vm="317">
        <f ca="1"/>
        <v>16.3538</v>
      </c>
      <c r="AF44" s="7">
        <f t="shared" ca="1" si="7"/>
        <v>7.0583152216606798E-2</v>
      </c>
      <c r="AG44" s="17"/>
    </row>
    <row r="45" spans="1:33" x14ac:dyDescent="0.2">
      <c r="A45">
        <v>39</v>
      </c>
      <c r="B45" s="20" vm="318">
        <f ca="1"/>
        <v>45383</v>
      </c>
      <c r="C45" s="20" vm="319">
        <f ca="1"/>
        <v>111.41</v>
      </c>
      <c r="D45" s="7">
        <f t="shared" ca="1" si="0"/>
        <v>7.3831325301204787E-2</v>
      </c>
      <c r="E45" s="17"/>
      <c r="F45" s="20" vm="318">
        <f ca="1"/>
        <v>45383</v>
      </c>
      <c r="G45" s="20" vm="320">
        <f ca="1"/>
        <v>0.32500000000000001</v>
      </c>
      <c r="H45" s="7">
        <f t="shared" ca="1" si="1"/>
        <v>4.8387096774193589E-2</v>
      </c>
      <c r="I45" s="17"/>
      <c r="J45" s="20" vm="318">
        <f ca="1"/>
        <v>45383</v>
      </c>
      <c r="K45" s="20" vm="321">
        <f ca="1"/>
        <v>122.08</v>
      </c>
      <c r="L45" s="7">
        <f t="shared" ca="1" si="2"/>
        <v>-8.4308430843084273E-2</v>
      </c>
      <c r="M45" s="17"/>
      <c r="N45" s="20" vm="318">
        <f ca="1"/>
        <v>45383</v>
      </c>
      <c r="O45" s="20" vm="322">
        <f ca="1"/>
        <v>1.03</v>
      </c>
      <c r="P45" s="7">
        <f t="shared" ca="1" si="3"/>
        <v>4.5685279187817299E-2</v>
      </c>
      <c r="Q45" s="17"/>
      <c r="R45" s="20" vm="318">
        <f ca="1"/>
        <v>45383</v>
      </c>
      <c r="S45" s="20" vm="323">
        <f ca="1"/>
        <v>3.67</v>
      </c>
      <c r="T45" s="7">
        <f t="shared" ca="1" si="4"/>
        <v>-4.9222797927461127E-2</v>
      </c>
      <c r="U45" s="17"/>
      <c r="V45" s="20" vm="318">
        <f ca="1"/>
        <v>45383</v>
      </c>
      <c r="W45" s="20" vm="315">
        <f ca="1"/>
        <v>4.51</v>
      </c>
      <c r="X45" s="7">
        <f t="shared" ca="1" si="5"/>
        <v>0</v>
      </c>
      <c r="Y45" s="17"/>
      <c r="Z45" s="20" vm="318">
        <f ca="1"/>
        <v>45383</v>
      </c>
      <c r="AA45" s="20" vm="324">
        <f ca="1"/>
        <v>114.54</v>
      </c>
      <c r="AB45" s="7">
        <f t="shared" ca="1" si="6"/>
        <v>-4.8196775801894604E-2</v>
      </c>
      <c r="AC45" s="17"/>
      <c r="AD45" s="20" vm="318">
        <f ca="1"/>
        <v>45383</v>
      </c>
      <c r="AE45" s="20" vm="325">
        <f ca="1"/>
        <v>16.593399999999999</v>
      </c>
      <c r="AF45" s="7">
        <f t="shared" ca="1" si="7"/>
        <v>1.4651029118614595E-2</v>
      </c>
      <c r="AG45" s="17"/>
    </row>
    <row r="46" spans="1:33" x14ac:dyDescent="0.2">
      <c r="A46">
        <v>40</v>
      </c>
      <c r="B46" s="20" vm="326">
        <f ca="1"/>
        <v>45413</v>
      </c>
      <c r="C46" s="20" vm="327">
        <f ca="1"/>
        <v>120.12</v>
      </c>
      <c r="D46" s="7">
        <f t="shared" ca="1" si="0"/>
        <v>7.8179696616102759E-2</v>
      </c>
      <c r="E46" s="17"/>
      <c r="F46" s="20" vm="326">
        <f ca="1"/>
        <v>45413</v>
      </c>
      <c r="G46" s="20" vm="165">
        <f ca="1"/>
        <v>0.39</v>
      </c>
      <c r="H46" s="7">
        <f t="shared" ca="1" si="1"/>
        <v>0.2</v>
      </c>
      <c r="I46" s="17"/>
      <c r="J46" s="20" vm="326">
        <f ca="1"/>
        <v>45413</v>
      </c>
      <c r="K46" s="20" vm="328">
        <f ca="1"/>
        <v>135</v>
      </c>
      <c r="L46" s="7">
        <f t="shared" ca="1" si="2"/>
        <v>0.10583224115334208</v>
      </c>
      <c r="M46" s="17"/>
      <c r="N46" s="20" vm="326">
        <f ca="1"/>
        <v>45413</v>
      </c>
      <c r="O46" s="20" vm="329">
        <f ca="1"/>
        <v>1.145</v>
      </c>
      <c r="P46" s="7">
        <f t="shared" ca="1" si="3"/>
        <v>0.1116504854368932</v>
      </c>
      <c r="Q46" s="17"/>
      <c r="R46" s="20" vm="326">
        <f ca="1"/>
        <v>45413</v>
      </c>
      <c r="S46" s="20" vm="330">
        <f ca="1"/>
        <v>3.47</v>
      </c>
      <c r="T46" s="7">
        <f t="shared" ca="1" si="4"/>
        <v>-5.449591280653944E-2</v>
      </c>
      <c r="U46" s="17"/>
      <c r="V46" s="20" vm="326">
        <f ca="1"/>
        <v>45413</v>
      </c>
      <c r="W46" s="20" vm="331">
        <f ca="1"/>
        <v>4.6500000000000004</v>
      </c>
      <c r="X46" s="7">
        <f t="shared" ca="1" si="5"/>
        <v>3.1042128603104339E-2</v>
      </c>
      <c r="Y46" s="17"/>
      <c r="Z46" s="20" vm="326">
        <f ca="1"/>
        <v>45413</v>
      </c>
      <c r="AA46" s="20" vm="332">
        <f ca="1"/>
        <v>119.54</v>
      </c>
      <c r="AB46" s="7">
        <f t="shared" ca="1" si="6"/>
        <v>4.365287235900122E-2</v>
      </c>
      <c r="AC46" s="17"/>
      <c r="AD46" s="20" vm="326">
        <f ca="1"/>
        <v>45413</v>
      </c>
      <c r="AE46" s="20" vm="333">
        <f ca="1"/>
        <v>15.884600000000001</v>
      </c>
      <c r="AF46" s="7">
        <f t="shared" ca="1" si="7"/>
        <v>-4.2715778562560917E-2</v>
      </c>
      <c r="AG46" s="17"/>
    </row>
    <row r="47" spans="1:33" x14ac:dyDescent="0.2">
      <c r="A47">
        <v>41</v>
      </c>
      <c r="B47" s="20" vm="334">
        <f ca="1"/>
        <v>45444</v>
      </c>
      <c r="C47" s="20" vm="335">
        <f ca="1"/>
        <v>143.26</v>
      </c>
      <c r="D47" s="7">
        <f t="shared" ca="1" si="0"/>
        <v>0.19264069264069253</v>
      </c>
      <c r="E47" s="17"/>
      <c r="F47" s="20" vm="334">
        <f ca="1"/>
        <v>45444</v>
      </c>
      <c r="G47" s="20" vm="336">
        <f ca="1"/>
        <v>0.44</v>
      </c>
      <c r="H47" s="7">
        <f t="shared" ca="1" si="1"/>
        <v>0.12820512820512817</v>
      </c>
      <c r="I47" s="17"/>
      <c r="J47" s="20" vm="334">
        <f ca="1"/>
        <v>45444</v>
      </c>
      <c r="K47" s="20" vm="337">
        <f ca="1"/>
        <v>136.4</v>
      </c>
      <c r="L47" s="7">
        <f t="shared" ca="1" si="2"/>
        <v>1.0370370370370412E-2</v>
      </c>
      <c r="M47" s="17"/>
      <c r="N47" s="20" vm="334">
        <f ca="1"/>
        <v>45444</v>
      </c>
      <c r="O47" s="20" vm="338">
        <f ca="1"/>
        <v>1.2549999999999999</v>
      </c>
      <c r="P47" s="7">
        <f t="shared" ca="1" si="3"/>
        <v>9.6069868995633079E-2</v>
      </c>
      <c r="Q47" s="17"/>
      <c r="R47" s="20" vm="334">
        <f ca="1"/>
        <v>45444</v>
      </c>
      <c r="S47" s="20" vm="339">
        <f ca="1"/>
        <v>3.62</v>
      </c>
      <c r="T47" s="7">
        <f t="shared" ca="1" si="4"/>
        <v>4.3227665706051847E-2</v>
      </c>
      <c r="U47" s="17"/>
      <c r="V47" s="20" vm="334">
        <f ca="1"/>
        <v>45444</v>
      </c>
      <c r="W47" s="20" vm="340">
        <f ca="1"/>
        <v>4.58</v>
      </c>
      <c r="X47" s="7">
        <f t="shared" ca="1" si="5"/>
        <v>-1.5053763440860275E-2</v>
      </c>
      <c r="Y47" s="17"/>
      <c r="Z47" s="20" vm="334">
        <f ca="1"/>
        <v>45444</v>
      </c>
      <c r="AA47" s="20" vm="341">
        <f ca="1"/>
        <v>127.38</v>
      </c>
      <c r="AB47" s="7">
        <f t="shared" ca="1" si="6"/>
        <v>6.5584741509118194E-2</v>
      </c>
      <c r="AC47" s="17"/>
      <c r="AD47" s="20" vm="334">
        <f ca="1"/>
        <v>45444</v>
      </c>
      <c r="AE47" s="20" vm="342">
        <f ca="1"/>
        <v>17.382200000000001</v>
      </c>
      <c r="AF47" s="7">
        <f t="shared" ca="1" si="7"/>
        <v>9.4279994460043079E-2</v>
      </c>
      <c r="AG47" s="17"/>
    </row>
    <row r="48" spans="1:33" x14ac:dyDescent="0.2">
      <c r="A48">
        <v>42</v>
      </c>
      <c r="B48" s="20" vm="343">
        <f ca="1"/>
        <v>45474</v>
      </c>
      <c r="C48" s="20" vm="344">
        <f ca="1"/>
        <v>143.76</v>
      </c>
      <c r="D48" s="7">
        <f t="shared" ca="1" si="0"/>
        <v>3.4901577551305321E-3</v>
      </c>
      <c r="E48" s="17"/>
      <c r="F48" s="20" vm="343">
        <f ca="1"/>
        <v>45474</v>
      </c>
      <c r="G48" s="20" vm="123">
        <f ca="1"/>
        <v>0.45</v>
      </c>
      <c r="H48" s="7">
        <f t="shared" ca="1" si="1"/>
        <v>2.2727272727272749E-2</v>
      </c>
      <c r="I48" s="17"/>
      <c r="J48" s="20" vm="343">
        <f ca="1"/>
        <v>45474</v>
      </c>
      <c r="K48" s="20" vm="345">
        <f ca="1"/>
        <v>138.18</v>
      </c>
      <c r="L48" s="7">
        <f t="shared" ca="1" si="2"/>
        <v>1.3049853372434025E-2</v>
      </c>
      <c r="M48" s="17"/>
      <c r="N48" s="20" vm="343">
        <f ca="1"/>
        <v>45474</v>
      </c>
      <c r="O48" s="20" vm="346">
        <f ca="1"/>
        <v>1.07</v>
      </c>
      <c r="P48" s="7">
        <f t="shared" ca="1" si="3"/>
        <v>-0.14741035856573692</v>
      </c>
      <c r="Q48" s="17"/>
      <c r="R48" s="20" vm="343">
        <f ca="1"/>
        <v>45474</v>
      </c>
      <c r="S48" s="20" vm="347">
        <f ca="1"/>
        <v>3.94</v>
      </c>
      <c r="T48" s="7">
        <f t="shared" ca="1" si="4"/>
        <v>8.8397790055248573E-2</v>
      </c>
      <c r="U48" s="17"/>
      <c r="V48" s="20" vm="343">
        <f ca="1"/>
        <v>45474</v>
      </c>
      <c r="W48" s="20" vm="348">
        <f ca="1"/>
        <v>4.75</v>
      </c>
      <c r="X48" s="7">
        <f t="shared" ca="1" si="5"/>
        <v>3.7117903930130987E-2</v>
      </c>
      <c r="Y48" s="17"/>
      <c r="Z48" s="20" vm="343">
        <f ca="1"/>
        <v>45474</v>
      </c>
      <c r="AA48" s="20" vm="349">
        <f ca="1"/>
        <v>137.49</v>
      </c>
      <c r="AB48" s="7">
        <f t="shared" ca="1" si="6"/>
        <v>7.9368817710786729E-2</v>
      </c>
      <c r="AC48" s="17"/>
      <c r="AD48" s="20" vm="343">
        <f ca="1"/>
        <v>45474</v>
      </c>
      <c r="AE48" s="20" vm="350">
        <f ca="1"/>
        <v>17.781500000000001</v>
      </c>
      <c r="AF48" s="7">
        <f t="shared" ca="1" si="7"/>
        <v>2.2971775724591834E-2</v>
      </c>
      <c r="AG48" s="17"/>
    </row>
    <row r="49" spans="1:33" x14ac:dyDescent="0.2">
      <c r="A49">
        <v>43</v>
      </c>
      <c r="B49" s="20" vm="351">
        <f ca="1"/>
        <v>45505</v>
      </c>
      <c r="C49" s="20" vm="352">
        <f ca="1"/>
        <v>150.69999999999999</v>
      </c>
      <c r="D49" s="7">
        <f t="shared" ca="1" si="0"/>
        <v>4.8274902615470218E-2</v>
      </c>
      <c r="E49" s="17"/>
      <c r="F49" s="20" vm="351">
        <f ca="1"/>
        <v>45505</v>
      </c>
      <c r="G49" s="20" vm="353">
        <f ca="1"/>
        <v>0.41</v>
      </c>
      <c r="H49" s="7">
        <f t="shared" ca="1" si="1"/>
        <v>-8.8888888888888962E-2</v>
      </c>
      <c r="I49" s="17"/>
      <c r="J49" s="20" vm="351">
        <f ca="1"/>
        <v>45505</v>
      </c>
      <c r="K49" s="20" vm="354">
        <f ca="1"/>
        <v>142.84</v>
      </c>
      <c r="L49" s="7">
        <f t="shared" ca="1" si="2"/>
        <v>3.3724127949051934E-2</v>
      </c>
      <c r="M49" s="17"/>
      <c r="N49" s="20" vm="351">
        <f ca="1"/>
        <v>45505</v>
      </c>
      <c r="O49" s="20" vm="355">
        <f ca="1"/>
        <v>0.94</v>
      </c>
      <c r="P49" s="7">
        <f t="shared" ca="1" si="3"/>
        <v>-0.12149532710280384</v>
      </c>
      <c r="Q49" s="17"/>
      <c r="R49" s="20" vm="351">
        <f ca="1"/>
        <v>45505</v>
      </c>
      <c r="S49" s="20" vm="75">
        <f ca="1"/>
        <v>3.93</v>
      </c>
      <c r="T49" s="7">
        <f t="shared" ca="1" si="4"/>
        <v>-2.5380710659897937E-3</v>
      </c>
      <c r="U49" s="17"/>
      <c r="V49" s="20" vm="351">
        <f ca="1"/>
        <v>45505</v>
      </c>
      <c r="W49" s="20" vm="356">
        <f ca="1"/>
        <v>4.96</v>
      </c>
      <c r="X49" s="7">
        <f t="shared" ca="1" si="5"/>
        <v>4.4210526315789464E-2</v>
      </c>
      <c r="Y49" s="17"/>
      <c r="Z49" s="20" vm="351">
        <f ca="1"/>
        <v>45505</v>
      </c>
      <c r="AA49" s="20" vm="357">
        <f ca="1"/>
        <v>139.5</v>
      </c>
      <c r="AB49" s="7">
        <f t="shared" ca="1" si="6"/>
        <v>1.4619245036002551E-2</v>
      </c>
      <c r="AC49" s="17"/>
      <c r="AD49" s="20" vm="351">
        <f ca="1"/>
        <v>45505</v>
      </c>
      <c r="AE49" s="20" vm="358">
        <f ca="1"/>
        <v>17.6418</v>
      </c>
      <c r="AF49" s="7">
        <f t="shared" ca="1" si="7"/>
        <v>-7.8564800494897082E-3</v>
      </c>
      <c r="AG49" s="17"/>
    </row>
    <row r="50" spans="1:33" x14ac:dyDescent="0.2">
      <c r="A50">
        <v>44</v>
      </c>
      <c r="B50" s="20" vm="359">
        <f ca="1"/>
        <v>45536</v>
      </c>
      <c r="C50" s="20" vm="360">
        <f ca="1"/>
        <v>178.25</v>
      </c>
      <c r="D50" s="7">
        <f t="shared" ca="1" si="0"/>
        <v>0.18281353682813545</v>
      </c>
      <c r="E50" s="17"/>
      <c r="F50" s="20" vm="359">
        <f ca="1"/>
        <v>45536</v>
      </c>
      <c r="G50" s="20" vm="361">
        <f ca="1"/>
        <v>0.44500000000000001</v>
      </c>
      <c r="H50" s="7">
        <f t="shared" ca="1" si="1"/>
        <v>8.5365853658536661E-2</v>
      </c>
      <c r="I50" s="17"/>
      <c r="J50" s="20" vm="359">
        <f ca="1"/>
        <v>45536</v>
      </c>
      <c r="K50" s="20" vm="362">
        <f ca="1"/>
        <v>149.44</v>
      </c>
      <c r="L50" s="7">
        <f t="shared" ca="1" si="2"/>
        <v>4.6205544665359803E-2</v>
      </c>
      <c r="M50" s="17"/>
      <c r="N50" s="20" vm="359">
        <f ca="1"/>
        <v>45536</v>
      </c>
      <c r="O50" s="20" vm="363">
        <f ca="1"/>
        <v>0.94499999999999995</v>
      </c>
      <c r="P50" s="7">
        <f t="shared" ca="1" si="3"/>
        <v>5.3191489361702178E-3</v>
      </c>
      <c r="Q50" s="17"/>
      <c r="R50" s="20" vm="359">
        <f ca="1"/>
        <v>45536</v>
      </c>
      <c r="S50" s="20" vm="142">
        <f ca="1"/>
        <v>3.88</v>
      </c>
      <c r="T50" s="7">
        <f t="shared" ca="1" si="4"/>
        <v>-1.2722646310432637E-2</v>
      </c>
      <c r="U50" s="17"/>
      <c r="V50" s="20" vm="359">
        <f ca="1"/>
        <v>45536</v>
      </c>
      <c r="W50" s="20" vm="364">
        <f ca="1"/>
        <v>4.92</v>
      </c>
      <c r="X50" s="7">
        <f t="shared" ca="1" si="5"/>
        <v>-8.0645161290322648E-3</v>
      </c>
      <c r="Y50" s="17"/>
      <c r="Z50" s="20" vm="359">
        <f ca="1"/>
        <v>45536</v>
      </c>
      <c r="AA50" s="20" vm="365">
        <f ca="1"/>
        <v>135.38999999999999</v>
      </c>
      <c r="AB50" s="7">
        <f t="shared" ca="1" si="6"/>
        <v>-2.9462365591397949E-2</v>
      </c>
      <c r="AC50" s="17"/>
      <c r="AD50" s="20" vm="359">
        <f ca="1"/>
        <v>45536</v>
      </c>
      <c r="AE50" s="20" vm="366">
        <f ca="1"/>
        <v>18.0611</v>
      </c>
      <c r="AF50" s="7">
        <f t="shared" ca="1" si="7"/>
        <v>2.3767416023308268E-2</v>
      </c>
      <c r="AG50" s="17"/>
    </row>
    <row r="51" spans="1:33" x14ac:dyDescent="0.2">
      <c r="A51">
        <v>45</v>
      </c>
      <c r="B51" s="20" vm="367">
        <f ca="1"/>
        <v>45566</v>
      </c>
      <c r="C51" s="20" vm="368">
        <f ca="1"/>
        <v>194.83</v>
      </c>
      <c r="D51" s="7">
        <f t="shared" ca="1" si="0"/>
        <v>9.3015427769986045E-2</v>
      </c>
      <c r="E51" s="17"/>
      <c r="F51" s="20" vm="367">
        <f ca="1"/>
        <v>45566</v>
      </c>
      <c r="G51" s="20" vm="369">
        <f ca="1"/>
        <v>0.42</v>
      </c>
      <c r="H51" s="7">
        <f t="shared" ca="1" si="1"/>
        <v>-5.6179775280898923E-2</v>
      </c>
      <c r="I51" s="17"/>
      <c r="J51" s="20" vm="367">
        <f ca="1"/>
        <v>45566</v>
      </c>
      <c r="K51" s="20" vm="370">
        <f ca="1"/>
        <v>149.5</v>
      </c>
      <c r="L51" s="7">
        <f t="shared" ca="1" si="2"/>
        <v>4.0149892933620367E-4</v>
      </c>
      <c r="M51" s="17"/>
      <c r="N51" s="20" vm="367">
        <f ca="1"/>
        <v>45566</v>
      </c>
      <c r="O51" s="20" vm="371">
        <f ca="1"/>
        <v>0.95</v>
      </c>
      <c r="P51" s="7">
        <f t="shared" ca="1" si="3"/>
        <v>5.2910052910052959E-3</v>
      </c>
      <c r="Q51" s="17"/>
      <c r="R51" s="20" vm="367">
        <f ca="1"/>
        <v>45566</v>
      </c>
      <c r="S51" s="20" vm="84">
        <f ca="1"/>
        <v>3.82</v>
      </c>
      <c r="T51" s="7">
        <f t="shared" ca="1" si="4"/>
        <v>-1.546391752577321E-2</v>
      </c>
      <c r="U51" s="17"/>
      <c r="V51" s="20" vm="367">
        <f ca="1"/>
        <v>45566</v>
      </c>
      <c r="W51" s="20" vm="372">
        <f ca="1"/>
        <v>4.5199999999999996</v>
      </c>
      <c r="X51" s="7">
        <f t="shared" ca="1" si="5"/>
        <v>-8.1300813008130149E-2</v>
      </c>
      <c r="Y51" s="17"/>
      <c r="Z51" s="20" vm="367">
        <f ca="1"/>
        <v>45566</v>
      </c>
      <c r="AA51" s="20" vm="373">
        <f ca="1"/>
        <v>142.75</v>
      </c>
      <c r="AB51" s="7">
        <f t="shared" ca="1" si="6"/>
        <v>5.4361474259546599E-2</v>
      </c>
      <c r="AC51" s="17"/>
      <c r="AD51" s="20" vm="367">
        <f ca="1"/>
        <v>45566</v>
      </c>
      <c r="AE51" s="20" vm="374">
        <f ca="1"/>
        <v>17.891400000000001</v>
      </c>
      <c r="AF51" s="7">
        <f t="shared" ca="1" si="7"/>
        <v>-9.3958839716295709E-3</v>
      </c>
      <c r="AG51" s="17"/>
    </row>
    <row r="52" spans="1:33" x14ac:dyDescent="0.2">
      <c r="A52">
        <v>46</v>
      </c>
      <c r="B52" s="20" vm="375">
        <f ca="1"/>
        <v>45597</v>
      </c>
      <c r="C52" s="20" vm="376">
        <f ca="1"/>
        <v>251.89</v>
      </c>
      <c r="D52" s="7">
        <f t="shared" ca="1" si="0"/>
        <v>0.2928707077965404</v>
      </c>
      <c r="E52" s="17"/>
      <c r="F52" s="20" vm="375">
        <f ca="1"/>
        <v>45597</v>
      </c>
      <c r="G52" s="20" vm="377">
        <f ca="1"/>
        <v>0.495</v>
      </c>
      <c r="H52" s="7">
        <f t="shared" ca="1" si="1"/>
        <v>0.1785714285714286</v>
      </c>
      <c r="I52" s="17"/>
      <c r="J52" s="20" vm="375">
        <f ca="1"/>
        <v>45597</v>
      </c>
      <c r="K52" s="20" vm="378">
        <f ca="1"/>
        <v>173.85</v>
      </c>
      <c r="L52" s="7">
        <f t="shared" ca="1" si="2"/>
        <v>0.16287625418060198</v>
      </c>
      <c r="M52" s="17"/>
      <c r="N52" s="20" vm="375">
        <f ca="1"/>
        <v>45597</v>
      </c>
      <c r="O52" s="20" vm="355">
        <f ca="1"/>
        <v>0.94</v>
      </c>
      <c r="P52" s="7">
        <f t="shared" ca="1" si="3"/>
        <v>-1.0526315789473694E-2</v>
      </c>
      <c r="Q52" s="17"/>
      <c r="R52" s="20" vm="375">
        <f ca="1"/>
        <v>45597</v>
      </c>
      <c r="S52" s="20" vm="347">
        <f ca="1"/>
        <v>3.94</v>
      </c>
      <c r="T52" s="7">
        <f t="shared" ca="1" si="4"/>
        <v>3.1413612565445052E-2</v>
      </c>
      <c r="U52" s="17"/>
      <c r="V52" s="20" vm="375">
        <f ca="1"/>
        <v>45597</v>
      </c>
      <c r="W52" s="20" vm="379">
        <f ca="1"/>
        <v>4.5</v>
      </c>
      <c r="X52" s="7">
        <f t="shared" ca="1" si="5"/>
        <v>-4.4247787610618532E-3</v>
      </c>
      <c r="Y52" s="17"/>
      <c r="Z52" s="20" vm="375">
        <f ca="1"/>
        <v>45597</v>
      </c>
      <c r="AA52" s="20" vm="380">
        <f ca="1"/>
        <v>158.58000000000001</v>
      </c>
      <c r="AB52" s="7">
        <f t="shared" ca="1" si="6"/>
        <v>0.11089316987740815</v>
      </c>
      <c r="AC52" s="17"/>
      <c r="AD52" s="20" vm="375">
        <f ca="1"/>
        <v>45597</v>
      </c>
      <c r="AE52" s="20" vm="381">
        <f ca="1"/>
        <v>19.668500000000002</v>
      </c>
      <c r="AF52" s="7">
        <f t="shared" ca="1" si="7"/>
        <v>9.9327050985389673E-2</v>
      </c>
      <c r="AG52" s="17"/>
    </row>
    <row r="53" spans="1:33" x14ac:dyDescent="0.2">
      <c r="A53">
        <v>47</v>
      </c>
      <c r="B53" s="20" vm="382">
        <f ca="1"/>
        <v>45627</v>
      </c>
      <c r="C53" s="20" vm="383">
        <f ca="1"/>
        <v>250.12</v>
      </c>
      <c r="D53" s="7">
        <f t="shared" ca="1" si="0"/>
        <v>-7.0268768113064504E-3</v>
      </c>
      <c r="E53" s="17"/>
      <c r="F53" s="20" vm="382">
        <f ca="1"/>
        <v>45627</v>
      </c>
      <c r="G53" s="20" vm="384">
        <f ca="1"/>
        <v>0.48</v>
      </c>
      <c r="H53" s="7">
        <f t="shared" ca="1" si="1"/>
        <v>-3.0303030303030332E-2</v>
      </c>
      <c r="I53" s="17"/>
      <c r="J53" s="20" vm="382">
        <f ca="1"/>
        <v>45627</v>
      </c>
      <c r="K53" s="20" vm="385">
        <f ca="1"/>
        <v>168.56</v>
      </c>
      <c r="L53" s="7">
        <f t="shared" ca="1" si="2"/>
        <v>-3.042853034224902E-2</v>
      </c>
      <c r="M53" s="17"/>
      <c r="N53" s="20" vm="382">
        <f ca="1"/>
        <v>45627</v>
      </c>
      <c r="O53" s="20" vm="386">
        <f ca="1"/>
        <v>1.04</v>
      </c>
      <c r="P53" s="7">
        <f t="shared" ca="1" si="3"/>
        <v>0.10638297872340435</v>
      </c>
      <c r="Q53" s="17"/>
      <c r="R53" s="20" vm="382">
        <f ca="1"/>
        <v>45627</v>
      </c>
      <c r="S53" s="20" vm="262">
        <f ca="1"/>
        <v>4.01</v>
      </c>
      <c r="T53" s="7">
        <f t="shared" ca="1" si="4"/>
        <v>1.7766497461928894E-2</v>
      </c>
      <c r="U53" s="17"/>
      <c r="V53" s="20" vm="382">
        <f ca="1"/>
        <v>45627</v>
      </c>
      <c r="W53" s="20" vm="387">
        <f ca="1"/>
        <v>4.49</v>
      </c>
      <c r="X53" s="7">
        <f t="shared" ca="1" si="5"/>
        <v>-2.2222222222221749E-3</v>
      </c>
      <c r="Y53" s="17"/>
      <c r="Z53" s="20" vm="382">
        <f ca="1"/>
        <v>45627</v>
      </c>
      <c r="AA53" s="20" vm="388">
        <f ca="1"/>
        <v>153.25</v>
      </c>
      <c r="AB53" s="7">
        <f t="shared" ca="1" si="6"/>
        <v>-3.3610795812839024E-2</v>
      </c>
      <c r="AC53" s="17"/>
      <c r="AD53" s="20" vm="382">
        <f ca="1"/>
        <v>45627</v>
      </c>
      <c r="AE53" s="20" vm="389">
        <f ca="1"/>
        <v>18.979600000000001</v>
      </c>
      <c r="AF53" s="7">
        <f t="shared" ca="1" si="7"/>
        <v>-3.5025548465820996E-2</v>
      </c>
      <c r="AG53" s="17"/>
    </row>
    <row r="54" spans="1:33" x14ac:dyDescent="0.2">
      <c r="A54">
        <v>48</v>
      </c>
      <c r="B54" s="89" vm="390">
        <f ca="1"/>
        <v>45658</v>
      </c>
      <c r="C54" s="89" vm="391">
        <f ca="1"/>
        <v>278.39999999999998</v>
      </c>
      <c r="D54" s="90">
        <f t="shared" ca="1" si="0"/>
        <v>0.11306572845034372</v>
      </c>
      <c r="E54" s="17"/>
      <c r="F54" s="89" vm="390">
        <f ca="1"/>
        <v>45658</v>
      </c>
      <c r="G54" s="89" vm="392">
        <f ca="1"/>
        <v>0.54500000000000004</v>
      </c>
      <c r="H54" s="90">
        <f t="shared" ca="1" si="1"/>
        <v>0.1354166666666668</v>
      </c>
      <c r="I54" s="17"/>
      <c r="J54" s="89" vm="390">
        <f ca="1"/>
        <v>45658</v>
      </c>
      <c r="K54" s="89" vm="393">
        <f ca="1"/>
        <v>183.27</v>
      </c>
      <c r="L54" s="90">
        <f t="shared" ca="1" si="2"/>
        <v>8.7268628381585236E-2</v>
      </c>
      <c r="M54" s="17"/>
      <c r="N54" s="89" vm="390">
        <f ca="1"/>
        <v>45658</v>
      </c>
      <c r="O54" s="89" vm="355">
        <f ca="1"/>
        <v>0.94</v>
      </c>
      <c r="P54" s="90">
        <f ca="1">(O54-O53)/O53</f>
        <v>-9.6153846153846242E-2</v>
      </c>
      <c r="Q54" s="17"/>
      <c r="R54" s="89" vm="390">
        <f ca="1"/>
        <v>45658</v>
      </c>
      <c r="S54" s="89" vm="394">
        <f ca="1"/>
        <v>3.95</v>
      </c>
      <c r="T54" s="90">
        <f t="shared" ca="1" si="4"/>
        <v>-1.4962593516209379E-2</v>
      </c>
      <c r="U54" s="17"/>
      <c r="V54" s="89" vm="390">
        <f ca="1"/>
        <v>45658</v>
      </c>
      <c r="W54" s="89" vm="395">
        <f ca="1"/>
        <v>4.4000000000000004</v>
      </c>
      <c r="X54" s="90">
        <f t="shared" ca="1" si="5"/>
        <v>-2.0044543429844065E-2</v>
      </c>
      <c r="Y54" s="17"/>
      <c r="Z54" s="89" vm="390">
        <f ca="1"/>
        <v>45658</v>
      </c>
      <c r="AA54" s="89" vm="396">
        <f ca="1"/>
        <v>160.56</v>
      </c>
      <c r="AB54" s="90">
        <f t="shared" ca="1" si="6"/>
        <v>4.7699836867862985E-2</v>
      </c>
      <c r="AC54" s="17"/>
      <c r="AD54" s="89" vm="390">
        <f ca="1"/>
        <v>45658</v>
      </c>
      <c r="AE54" s="89" vm="397">
        <f ca="1"/>
        <v>20.776700000000002</v>
      </c>
      <c r="AF54" s="90">
        <f t="shared" ca="1" si="7"/>
        <v>9.4685873253387856E-2</v>
      </c>
      <c r="AG54" s="17"/>
    </row>
    <row r="55" spans="1:33" ht="26.25" customHeight="1" x14ac:dyDescent="0.2">
      <c r="B55" s="20"/>
      <c r="C55" s="20"/>
      <c r="D55" s="79">
        <f ca="1">AVERAGE(D7:D54)</f>
        <v>4.5530185933715182E-2</v>
      </c>
      <c r="E55" s="91"/>
      <c r="F55" s="91"/>
      <c r="G55" s="20"/>
      <c r="H55" s="92">
        <f ca="1">AVERAGE(H7:H54)</f>
        <v>2.5564443106785531E-2</v>
      </c>
      <c r="I55" s="91"/>
      <c r="J55" s="91"/>
      <c r="K55" s="91"/>
      <c r="L55" s="79">
        <f ca="1">AVERAGE(L7:L54)</f>
        <v>1.1564818027837785E-2</v>
      </c>
      <c r="M55" s="91"/>
      <c r="N55" s="91"/>
      <c r="O55" s="20"/>
      <c r="P55" s="92">
        <f ca="1">AVERAGE(P7:P54)</f>
        <v>1.0884127194878032E-2</v>
      </c>
      <c r="Q55" s="20"/>
      <c r="R55" s="20"/>
      <c r="S55" s="20"/>
      <c r="T55" s="92">
        <f ca="1">AVERAGE(T7:T54)</f>
        <v>5.5431375324955538E-3</v>
      </c>
      <c r="U55" s="91"/>
      <c r="V55" s="91"/>
      <c r="W55" s="91"/>
      <c r="X55" s="93">
        <f ca="1">AVERAGE(X7:X54)</f>
        <v>-8.2112646701124111E-3</v>
      </c>
      <c r="Y55" s="91"/>
      <c r="Z55" s="91"/>
      <c r="AA55" s="91"/>
      <c r="AB55" s="93">
        <f ca="1">AVERAGE(AB7:AB54)</f>
        <v>1.563254330015652E-2</v>
      </c>
      <c r="AC55" s="91"/>
      <c r="AD55" s="91"/>
      <c r="AE55" s="20"/>
      <c r="AF55" s="92">
        <f ca="1">AVERAGE(AF7:AF54)</f>
        <v>1.6484698843539539E-2</v>
      </c>
      <c r="AG55" s="20"/>
    </row>
    <row r="56" spans="1:33" ht="25.25" customHeight="1" x14ac:dyDescent="0.2"/>
  </sheetData>
  <sortState xmlns:xlrd2="http://schemas.microsoft.com/office/spreadsheetml/2017/richdata2" ref="AI22:AI39">
    <sortCondition ref="AI22:AI39"/>
  </sortState>
  <mergeCells count="16">
    <mergeCell ref="AN10:AN11"/>
    <mergeCell ref="AN12:AN13"/>
    <mergeCell ref="AM6:AM7"/>
    <mergeCell ref="AM8:AM9"/>
    <mergeCell ref="AM10:AM11"/>
    <mergeCell ref="AM12:AM13"/>
    <mergeCell ref="AN6:AN7"/>
    <mergeCell ref="V4:X4"/>
    <mergeCell ref="Z4:AB4"/>
    <mergeCell ref="AD4:AF4"/>
    <mergeCell ref="AN8:AN9"/>
    <mergeCell ref="B4:D4"/>
    <mergeCell ref="F4:H4"/>
    <mergeCell ref="J4:L4"/>
    <mergeCell ref="N4:P4"/>
    <mergeCell ref="R4:T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2:Y65"/>
  <sheetViews>
    <sheetView topLeftCell="N1" zoomScale="67" zoomScaleNormal="60" workbookViewId="0">
      <selection activeCell="L22" sqref="L22"/>
    </sheetView>
  </sheetViews>
  <sheetFormatPr baseColWidth="10" defaultColWidth="8.83203125" defaultRowHeight="15" x14ac:dyDescent="0.2"/>
  <cols>
    <col min="2" max="2" width="11.1640625" style="2" customWidth="1"/>
    <col min="3" max="3" width="12.5" style="1" customWidth="1"/>
    <col min="4" max="4" width="12" style="1" customWidth="1"/>
    <col min="5" max="5" width="13.1640625" style="1" customWidth="1"/>
    <col min="6" max="7" width="11.1640625" style="2" customWidth="1"/>
    <col min="8" max="8" width="13" style="2" customWidth="1"/>
    <col min="9" max="9" width="14.83203125" style="2" customWidth="1"/>
    <col min="10" max="10" width="13.33203125" customWidth="1"/>
    <col min="16" max="16" width="18.1640625" customWidth="1"/>
    <col min="17" max="17" width="31.6640625" customWidth="1"/>
    <col min="18" max="18" width="22.5" customWidth="1"/>
    <col min="19" max="19" width="17.33203125" customWidth="1"/>
    <col min="20" max="20" width="20.1640625" customWidth="1"/>
    <col min="21" max="21" width="17.83203125" customWidth="1"/>
    <col min="22" max="22" width="17.5" customWidth="1"/>
    <col min="23" max="24" width="18.83203125" customWidth="1"/>
    <col min="25" max="25" width="21.83203125" customWidth="1"/>
  </cols>
  <sheetData>
    <row r="2" spans="1:23" ht="20" thickBot="1" x14ac:dyDescent="0.25">
      <c r="C2" s="43" t="s">
        <v>53</v>
      </c>
      <c r="Q2" t="s">
        <v>56</v>
      </c>
    </row>
    <row r="3" spans="1:23" x14ac:dyDescent="0.2">
      <c r="B3" s="253" t="s">
        <v>20</v>
      </c>
      <c r="C3" s="212" t="s">
        <v>35</v>
      </c>
      <c r="D3" s="213" t="s">
        <v>36</v>
      </c>
      <c r="E3" s="214" t="s">
        <v>37</v>
      </c>
      <c r="F3" s="214" t="s">
        <v>38</v>
      </c>
      <c r="G3" s="215" t="s">
        <v>39</v>
      </c>
      <c r="H3" s="215" t="s">
        <v>40</v>
      </c>
      <c r="I3" s="216" t="s">
        <v>41</v>
      </c>
      <c r="J3" s="216" t="s">
        <v>42</v>
      </c>
    </row>
    <row r="4" spans="1:23" ht="19" x14ac:dyDescent="0.2">
      <c r="B4" s="253"/>
      <c r="C4" s="72">
        <v>1</v>
      </c>
      <c r="D4" s="72">
        <v>2</v>
      </c>
      <c r="E4" s="72">
        <v>3</v>
      </c>
      <c r="F4" s="72">
        <v>4</v>
      </c>
      <c r="G4" s="72">
        <v>5</v>
      </c>
      <c r="H4" s="72">
        <v>6</v>
      </c>
      <c r="I4" s="72">
        <v>7</v>
      </c>
      <c r="J4" s="72">
        <v>8</v>
      </c>
      <c r="Q4" s="43" t="s">
        <v>54</v>
      </c>
    </row>
    <row r="5" spans="1:23" ht="65" thickBot="1" x14ac:dyDescent="0.25">
      <c r="B5" s="1" t="s">
        <v>0</v>
      </c>
      <c r="C5" s="69" t="s">
        <v>65</v>
      </c>
      <c r="D5" s="70" t="s">
        <v>175</v>
      </c>
      <c r="E5" s="69" t="s">
        <v>66</v>
      </c>
      <c r="F5" s="70" t="s">
        <v>199</v>
      </c>
      <c r="G5" s="69" t="s">
        <v>67</v>
      </c>
      <c r="H5" s="70" t="s">
        <v>176</v>
      </c>
      <c r="I5" s="71" t="s">
        <v>68</v>
      </c>
      <c r="J5" s="94" t="s">
        <v>177</v>
      </c>
      <c r="P5" s="15" t="s">
        <v>1</v>
      </c>
      <c r="Q5" s="15" t="s">
        <v>2</v>
      </c>
      <c r="R5" s="15" t="s">
        <v>3</v>
      </c>
      <c r="S5" s="16" t="s">
        <v>29</v>
      </c>
      <c r="T5" s="16" t="s">
        <v>30</v>
      </c>
      <c r="U5" s="63" t="s">
        <v>4</v>
      </c>
      <c r="V5" s="64" t="s">
        <v>15</v>
      </c>
      <c r="W5" s="64" t="s">
        <v>26</v>
      </c>
    </row>
    <row r="6" spans="1:23" ht="17" x14ac:dyDescent="0.2">
      <c r="B6" t="s">
        <v>61</v>
      </c>
      <c r="C6" s="65" t="s">
        <v>60</v>
      </c>
      <c r="D6" s="66" t="s">
        <v>168</v>
      </c>
      <c r="E6" s="65" t="s">
        <v>64</v>
      </c>
      <c r="F6" s="67" t="s">
        <v>197</v>
      </c>
      <c r="G6" s="68" t="s">
        <v>62</v>
      </c>
      <c r="H6" s="66" t="s">
        <v>171</v>
      </c>
      <c r="I6" s="68" t="s">
        <v>63</v>
      </c>
      <c r="J6" s="95" t="s">
        <v>174</v>
      </c>
      <c r="P6" s="8" t="s">
        <v>69</v>
      </c>
      <c r="Q6" s="73" t="s">
        <v>70</v>
      </c>
      <c r="R6" s="244" t="s">
        <v>9</v>
      </c>
      <c r="S6" s="248" t="s">
        <v>43</v>
      </c>
      <c r="T6" s="96" t="s">
        <v>35</v>
      </c>
      <c r="U6" s="40">
        <f ca="1">C56</f>
        <v>4.5530185933715182E-2</v>
      </c>
      <c r="V6" s="40">
        <f ca="1">C57</f>
        <v>0.10936385592244387</v>
      </c>
      <c r="W6" s="100" t="s">
        <v>81</v>
      </c>
    </row>
    <row r="7" spans="1:23" ht="17" x14ac:dyDescent="0.2">
      <c r="A7">
        <v>0</v>
      </c>
      <c r="B7" vm="1">
        <v>44197</v>
      </c>
      <c r="C7" s="65"/>
      <c r="D7" s="66"/>
      <c r="E7" s="65"/>
      <c r="F7" s="67"/>
      <c r="G7" s="68"/>
      <c r="H7" s="66"/>
      <c r="I7" s="68"/>
      <c r="J7" s="95"/>
      <c r="P7" s="8" t="s">
        <v>168</v>
      </c>
      <c r="Q7" s="75" t="s">
        <v>169</v>
      </c>
      <c r="R7" s="244"/>
      <c r="S7" s="248"/>
      <c r="T7" s="96" t="s">
        <v>36</v>
      </c>
      <c r="U7" s="40">
        <f ca="1">D56</f>
        <v>2.5564443106785531E-2</v>
      </c>
      <c r="V7" s="40">
        <f ca="1">D57</f>
        <v>0.13553167397727031</v>
      </c>
      <c r="W7" s="100" t="s">
        <v>81</v>
      </c>
    </row>
    <row r="8" spans="1:23" ht="17" x14ac:dyDescent="0.2">
      <c r="A8">
        <v>1</v>
      </c>
      <c r="B8" vm="10">
        <v>44228</v>
      </c>
      <c r="C8" s="26">
        <f ca="1">'1.a Compute rate of return'!D7</f>
        <v>3.5247432306255787E-2</v>
      </c>
      <c r="D8" s="7">
        <f ca="1">'1.a Compute rate of return'!H7</f>
        <v>0.12500000000000011</v>
      </c>
      <c r="E8" s="7">
        <f ca="1">'1.a Compute rate of return'!L7</f>
        <v>-8.8228501039340837E-2</v>
      </c>
      <c r="F8" s="7">
        <f ca="1">'1.a Compute rate of return'!P7</f>
        <v>0</v>
      </c>
      <c r="G8" s="7">
        <f ca="1">'1.a Compute rate of return'!T7</f>
        <v>-1.2820512820512832E-2</v>
      </c>
      <c r="H8" s="7">
        <f ca="1">'1.a Compute rate of return'!X7</f>
        <v>-8.1081081081081155E-2</v>
      </c>
      <c r="I8" s="7">
        <f ca="1">'1.a Compute rate of return'!AB7</f>
        <v>-2.3350496946473509E-2</v>
      </c>
      <c r="J8" s="7">
        <f ca="1">'1.a Compute rate of return'!AF7</f>
        <v>-1.3888750012498834E-2</v>
      </c>
      <c r="P8" s="9" t="s">
        <v>71</v>
      </c>
      <c r="Q8" s="74" t="s">
        <v>72</v>
      </c>
      <c r="R8" s="245" t="s">
        <v>10</v>
      </c>
      <c r="S8" s="238" t="s">
        <v>44</v>
      </c>
      <c r="T8" s="97" t="s">
        <v>37</v>
      </c>
      <c r="U8" s="40">
        <f ca="1">E56</f>
        <v>1.1564818027837785E-2</v>
      </c>
      <c r="V8" s="41">
        <f ca="1">E57</f>
        <v>9.4151228850625754E-2</v>
      </c>
      <c r="W8" s="101" t="s">
        <v>80</v>
      </c>
    </row>
    <row r="9" spans="1:23" ht="17" x14ac:dyDescent="0.2">
      <c r="A9">
        <v>2</v>
      </c>
      <c r="B9" vm="18">
        <v>44256</v>
      </c>
      <c r="C9" s="26">
        <f ca="1">'1.a Compute rate of return'!D8</f>
        <v>-6.809470124013535E-2</v>
      </c>
      <c r="D9" s="7">
        <f ca="1">'1.a Compute rate of return'!H8</f>
        <v>-0.1111111111111112</v>
      </c>
      <c r="E9" s="7">
        <f ca="1">'1.a Compute rate of return'!L8</f>
        <v>6.8394832390441557E-2</v>
      </c>
      <c r="F9" s="7">
        <f ca="1">'1.a Compute rate of return'!P8</f>
        <v>0.1538461538461538</v>
      </c>
      <c r="G9" s="7">
        <f ca="1">'1.a Compute rate of return'!T8</f>
        <v>0.10389610389610385</v>
      </c>
      <c r="H9" s="7">
        <f ca="1">'1.a Compute rate of return'!X8</f>
        <v>-6.9117647058823492E-2</v>
      </c>
      <c r="I9" s="7">
        <f ca="1">'1.a Compute rate of return'!AB8</f>
        <v>5.5664541441883174E-2</v>
      </c>
      <c r="J9" s="7">
        <f ca="1">'1.a Compute rate of return'!AF8</f>
        <v>-4.0255526262421258E-3</v>
      </c>
      <c r="P9" s="9" t="s">
        <v>197</v>
      </c>
      <c r="Q9" s="75" t="s">
        <v>198</v>
      </c>
      <c r="R9" s="245"/>
      <c r="S9" s="238"/>
      <c r="T9" s="97" t="s">
        <v>38</v>
      </c>
      <c r="U9" s="41">
        <f ca="1">F56</f>
        <v>1.0884127194878032E-2</v>
      </c>
      <c r="V9" s="41">
        <f ca="1">F57</f>
        <v>8.0188898431855518E-2</v>
      </c>
      <c r="W9" s="101" t="s">
        <v>80</v>
      </c>
    </row>
    <row r="10" spans="1:23" ht="17" x14ac:dyDescent="0.2">
      <c r="A10">
        <v>3</v>
      </c>
      <c r="B10" vm="26">
        <v>44287</v>
      </c>
      <c r="C10" s="26">
        <f ca="1">'1.a Compute rate of return'!D9</f>
        <v>0.142269537865957</v>
      </c>
      <c r="D10" s="7">
        <f ca="1">'1.a Compute rate of return'!H9</f>
        <v>-6.2499999999999944E-2</v>
      </c>
      <c r="E10" s="7">
        <f ca="1">'1.a Compute rate of return'!L9</f>
        <v>0.11878605864221925</v>
      </c>
      <c r="F10" s="7">
        <f ca="1">'1.a Compute rate of return'!P9</f>
        <v>-1.3333333333333345E-2</v>
      </c>
      <c r="G10" s="7">
        <f ca="1">'1.a Compute rate of return'!T9</f>
        <v>-2.9411764705881728E-3</v>
      </c>
      <c r="H10" s="7">
        <f ca="1">'1.a Compute rate of return'!X9</f>
        <v>-0.12954186413902058</v>
      </c>
      <c r="I10" s="7">
        <f ca="1">'1.a Compute rate of return'!AB9</f>
        <v>3.4146341463414775E-2</v>
      </c>
      <c r="J10" s="7">
        <f ca="1">'1.a Compute rate of return'!AF9</f>
        <v>6.1614896714618769E-2</v>
      </c>
      <c r="P10" s="8" t="s">
        <v>62</v>
      </c>
      <c r="Q10" s="73" t="s">
        <v>73</v>
      </c>
      <c r="R10" s="246" t="s">
        <v>21</v>
      </c>
      <c r="S10" s="242" t="s">
        <v>45</v>
      </c>
      <c r="T10" s="98" t="s">
        <v>39</v>
      </c>
      <c r="U10" s="4">
        <f ca="1">G56</f>
        <v>5.5431375324955538E-3</v>
      </c>
      <c r="V10" s="4">
        <f ca="1">G57</f>
        <v>3.5698466399920525E-2</v>
      </c>
      <c r="W10" s="102" t="s">
        <v>79</v>
      </c>
    </row>
    <row r="11" spans="1:23" ht="17" x14ac:dyDescent="0.2">
      <c r="A11">
        <v>4</v>
      </c>
      <c r="B11" vm="35">
        <v>44317</v>
      </c>
      <c r="C11" s="26">
        <f ca="1">'1.a Compute rate of return'!D10</f>
        <v>-2.3300148273670863E-2</v>
      </c>
      <c r="D11" s="7">
        <f ca="1">'1.a Compute rate of return'!H10</f>
        <v>0.17777777777777781</v>
      </c>
      <c r="E11" s="7">
        <f ca="1">'1.a Compute rate of return'!L10</f>
        <v>-6.2941508900819412E-2</v>
      </c>
      <c r="F11" s="7">
        <f ca="1">'1.a Compute rate of return'!P10</f>
        <v>-2.0270270270270289E-2</v>
      </c>
      <c r="G11" s="7">
        <f ca="1">'1.a Compute rate of return'!T10</f>
        <v>3.8348082595870171E-2</v>
      </c>
      <c r="H11" s="7">
        <f ca="1">'1.a Compute rate of return'!X10</f>
        <v>-5.4446460980036269E-2</v>
      </c>
      <c r="I11" s="7">
        <f ca="1">'1.a Compute rate of return'!AB10</f>
        <v>0.11994609164420476</v>
      </c>
      <c r="J11" s="7">
        <f ca="1">'1.a Compute rate of return'!AF10</f>
        <v>5.803883960680891E-2</v>
      </c>
      <c r="P11" s="8" t="s">
        <v>171</v>
      </c>
      <c r="Q11" s="75" t="s">
        <v>170</v>
      </c>
      <c r="R11" s="246"/>
      <c r="S11" s="242"/>
      <c r="T11" s="98" t="s">
        <v>40</v>
      </c>
      <c r="U11" s="4">
        <f ca="1">H56</f>
        <v>-8.2112646701124111E-3</v>
      </c>
      <c r="V11" s="4">
        <f ca="1">H57</f>
        <v>7.254003966278906E-2</v>
      </c>
      <c r="W11" s="101" t="s">
        <v>80</v>
      </c>
    </row>
    <row r="12" spans="1:23" ht="17" x14ac:dyDescent="0.2">
      <c r="A12">
        <v>5</v>
      </c>
      <c r="B12" vm="44">
        <v>44348</v>
      </c>
      <c r="C12" s="26">
        <f ca="1">'1.a Compute rate of return'!D11</f>
        <v>0.27347646931251357</v>
      </c>
      <c r="D12" s="7">
        <f ca="1">'1.a Compute rate of return'!H11</f>
        <v>0</v>
      </c>
      <c r="E12" s="7">
        <f ca="1">'1.a Compute rate of return'!L11</f>
        <v>3.3546928006030818E-2</v>
      </c>
      <c r="F12" s="7">
        <f ca="1">'1.a Compute rate of return'!P11</f>
        <v>-0.13103448275862065</v>
      </c>
      <c r="G12" s="7">
        <f ca="1">'1.a Compute rate of return'!T11</f>
        <v>6.8181818181818121E-2</v>
      </c>
      <c r="H12" s="7">
        <f ca="1">'1.a Compute rate of return'!X11</f>
        <v>0.20153550863723604</v>
      </c>
      <c r="I12" s="7">
        <f ca="1">'1.a Compute rate of return'!AB11</f>
        <v>1.5042117930205144E-3</v>
      </c>
      <c r="J12" s="7">
        <f ca="1">'1.a Compute rate of return'!AF11</f>
        <v>-8.9733247527803886E-4</v>
      </c>
      <c r="P12" s="3" t="s">
        <v>63</v>
      </c>
      <c r="Q12" s="74" t="s">
        <v>74</v>
      </c>
      <c r="R12" s="247" t="s">
        <v>19</v>
      </c>
      <c r="S12" s="243" t="s">
        <v>46</v>
      </c>
      <c r="T12" s="99" t="s">
        <v>41</v>
      </c>
      <c r="U12" s="42">
        <f ca="1">I56</f>
        <v>1.563254330015652E-2</v>
      </c>
      <c r="V12" s="42">
        <f ca="1">I57</f>
        <v>6.2967475865032346E-2</v>
      </c>
      <c r="W12" s="102" t="s">
        <v>79</v>
      </c>
    </row>
    <row r="13" spans="1:23" ht="17" x14ac:dyDescent="0.2">
      <c r="A13">
        <v>6</v>
      </c>
      <c r="B13" vm="52">
        <v>44378</v>
      </c>
      <c r="C13" s="26">
        <f ca="1">'1.a Compute rate of return'!D12</f>
        <v>-1.2602179836512295E-2</v>
      </c>
      <c r="D13" s="7">
        <f ca="1">'1.a Compute rate of return'!H12</f>
        <v>-1.8867924528301903E-2</v>
      </c>
      <c r="E13" s="7">
        <f ca="1">'1.a Compute rate of return'!L12</f>
        <v>2.3194748358862195E-2</v>
      </c>
      <c r="F13" s="7">
        <f ca="1">'1.a Compute rate of return'!P12</f>
        <v>-3.1746031746031772E-2</v>
      </c>
      <c r="G13" s="7">
        <f ca="1">'1.a Compute rate of return'!T12</f>
        <v>5.3191489361702178E-3</v>
      </c>
      <c r="H13" s="7">
        <f ca="1">'1.a Compute rate of return'!X12</f>
        <v>-1.2779552715654964E-2</v>
      </c>
      <c r="I13" s="7">
        <f ca="1">'1.a Compute rate of return'!AB12</f>
        <v>-2.2028637228396803E-3</v>
      </c>
      <c r="J13" s="7">
        <f ca="1">'1.a Compute rate of return'!AF12</f>
        <v>3.8701600319338149E-2</v>
      </c>
      <c r="P13" s="9" t="s">
        <v>174</v>
      </c>
      <c r="Q13" s="75" t="s">
        <v>173</v>
      </c>
      <c r="R13" s="247"/>
      <c r="S13" s="243"/>
      <c r="T13" s="99" t="s">
        <v>42</v>
      </c>
      <c r="U13" s="42">
        <f ca="1">J56</f>
        <v>1.6484698843539539E-2</v>
      </c>
      <c r="V13" s="42">
        <f ca="1">J57</f>
        <v>4.8592930823745273E-2</v>
      </c>
      <c r="W13" s="102" t="s">
        <v>79</v>
      </c>
    </row>
    <row r="14" spans="1:23" x14ac:dyDescent="0.2">
      <c r="A14">
        <v>7</v>
      </c>
      <c r="B14" vm="61">
        <v>44409</v>
      </c>
      <c r="C14" s="26">
        <f ca="1">'1.a Compute rate of return'!D13</f>
        <v>8.7788892721628209E-2</v>
      </c>
      <c r="D14" s="7">
        <f ca="1">'1.a Compute rate of return'!H13</f>
        <v>0.15384615384615377</v>
      </c>
      <c r="E14" s="7">
        <f ca="1">'1.a Compute rate of return'!L13</f>
        <v>8.2264043341887597E-2</v>
      </c>
      <c r="F14" s="7">
        <f ca="1">'1.a Compute rate of return'!P13</f>
        <v>0.13114754098360648</v>
      </c>
      <c r="G14" s="7">
        <f ca="1">'1.a Compute rate of return'!T13</f>
        <v>1.5873015873015889E-2</v>
      </c>
      <c r="H14" s="7">
        <f ca="1">'1.a Compute rate of return'!X13</f>
        <v>-3.2362459546924878E-3</v>
      </c>
      <c r="I14" s="7">
        <f ca="1">'1.a Compute rate of return'!AB13</f>
        <v>4.7165077772202595E-3</v>
      </c>
      <c r="J14" s="7">
        <f ca="1">'1.a Compute rate of return'!AF13</f>
        <v>8.8275368141561991E-2</v>
      </c>
    </row>
    <row r="15" spans="1:23" x14ac:dyDescent="0.2">
      <c r="A15">
        <v>8</v>
      </c>
      <c r="B15" vm="70">
        <v>44440</v>
      </c>
      <c r="C15" s="26">
        <f ca="1">'1.a Compute rate of return'!D14</f>
        <v>-0.13413667353733949</v>
      </c>
      <c r="D15" s="7">
        <f ca="1">'1.a Compute rate of return'!H14</f>
        <v>1.6666666666666684E-2</v>
      </c>
      <c r="E15" s="7">
        <f ca="1">'1.a Compute rate of return'!L14</f>
        <v>-8.4442102489790505E-2</v>
      </c>
      <c r="F15" s="7">
        <f ca="1">'1.a Compute rate of return'!P14</f>
        <v>-7.2463768115940486E-3</v>
      </c>
      <c r="G15" s="7">
        <f ca="1">'1.a Compute rate of return'!T14</f>
        <v>2.343750000000008E-2</v>
      </c>
      <c r="H15" s="7">
        <f ca="1">'1.a Compute rate of return'!X14</f>
        <v>0.14610389610389601</v>
      </c>
      <c r="I15" s="7">
        <f ca="1">'1.a Compute rate of return'!AB14</f>
        <v>4.2049540551338332E-2</v>
      </c>
      <c r="J15" s="7">
        <f ca="1">'1.a Compute rate of return'!AF14</f>
        <v>6.4044429819984398E-3</v>
      </c>
    </row>
    <row r="16" spans="1:23" ht="20" thickBot="1" x14ac:dyDescent="0.25">
      <c r="A16">
        <v>9</v>
      </c>
      <c r="B16" vm="79">
        <v>44470</v>
      </c>
      <c r="C16" s="26">
        <f ca="1">'1.a Compute rate of return'!D15</f>
        <v>-2.4354513825306689E-2</v>
      </c>
      <c r="D16" s="7">
        <f ca="1">'1.a Compute rate of return'!H15</f>
        <v>-6.5573770491803338E-2</v>
      </c>
      <c r="E16" s="7">
        <f ca="1">'1.a Compute rate of return'!L15</f>
        <v>7.561151079136684E-2</v>
      </c>
      <c r="F16" s="7">
        <f ca="1">'1.a Compute rate of return'!P15</f>
        <v>-0.15328467153284683</v>
      </c>
      <c r="G16" s="7">
        <f ca="1">'1.a Compute rate of return'!T15</f>
        <v>-2.7989821882951734E-2</v>
      </c>
      <c r="H16" s="7">
        <f ca="1">'1.a Compute rate of return'!X15</f>
        <v>-4.3909348441926295E-2</v>
      </c>
      <c r="I16" s="7">
        <f ca="1">'1.a Compute rate of return'!AB15</f>
        <v>3.3547397680437894E-3</v>
      </c>
      <c r="J16" s="7">
        <f ca="1">'1.a Compute rate of return'!AF15</f>
        <v>-6.6874536479557226E-2</v>
      </c>
      <c r="Q16" s="43" t="s">
        <v>55</v>
      </c>
    </row>
    <row r="17" spans="1:25" ht="18" customHeight="1" thickBot="1" x14ac:dyDescent="0.25">
      <c r="A17">
        <v>10</v>
      </c>
      <c r="B17" vm="88">
        <v>44501</v>
      </c>
      <c r="C17" s="26">
        <f ca="1">'1.a Compute rate of return'!D16</f>
        <v>0.17267267267267258</v>
      </c>
      <c r="D17" s="7">
        <f ca="1">'1.a Compute rate of return'!H16</f>
        <v>5.2631578947368474E-2</v>
      </c>
      <c r="E17" s="7">
        <f ca="1">'1.a Compute rate of return'!L16</f>
        <v>-3.1235368871647299E-2</v>
      </c>
      <c r="F17" s="7">
        <f ca="1">'1.a Compute rate of return'!P16</f>
        <v>5.1724137931034531E-2</v>
      </c>
      <c r="G17" s="7">
        <f ca="1">'1.a Compute rate of return'!T16</f>
        <v>6.5445026178010596E-2</v>
      </c>
      <c r="H17" s="7">
        <f ca="1">'1.a Compute rate of return'!X16</f>
        <v>0</v>
      </c>
      <c r="I17" s="7">
        <f ca="1">'1.a Compute rate of return'!AB16</f>
        <v>-0.10985861673672143</v>
      </c>
      <c r="J17" s="7">
        <f ca="1">'1.a Compute rate of return'!AF16</f>
        <v>-7.6794886038303437E-2</v>
      </c>
      <c r="Q17" s="252" t="s">
        <v>47</v>
      </c>
      <c r="R17" s="250"/>
      <c r="S17" s="249" t="s">
        <v>48</v>
      </c>
      <c r="T17" s="250"/>
      <c r="U17" s="249" t="s">
        <v>49</v>
      </c>
      <c r="V17" s="251"/>
      <c r="W17" s="252" t="s">
        <v>50</v>
      </c>
      <c r="X17" s="250"/>
      <c r="Y17" s="31"/>
    </row>
    <row r="18" spans="1:25" ht="19.25" customHeight="1" thickBot="1" x14ac:dyDescent="0.25">
      <c r="A18">
        <v>11</v>
      </c>
      <c r="B18" vm="94">
        <v>44531</v>
      </c>
      <c r="C18" s="26">
        <f ca="1">'1.a Compute rate of return'!D17</f>
        <v>-6.4020486555696466E-4</v>
      </c>
      <c r="D18" s="7">
        <f ca="1">'1.a Compute rate of return'!H17</f>
        <v>0.2</v>
      </c>
      <c r="E18" s="7">
        <f ca="1">'1.a Compute rate of return'!L17</f>
        <v>-2.3474178403755906E-2</v>
      </c>
      <c r="F18" s="7">
        <f ca="1">'1.a Compute rate of return'!P17</f>
        <v>4.9180327868852507E-2</v>
      </c>
      <c r="G18" s="7">
        <f ca="1">'1.a Compute rate of return'!T17</f>
        <v>2.7027027027026886E-2</v>
      </c>
      <c r="H18" s="7">
        <f ca="1">'1.a Compute rate of return'!X17</f>
        <v>-0.12740740740740744</v>
      </c>
      <c r="I18" s="7">
        <f ca="1">'1.a Compute rate of return'!AB17</f>
        <v>8.3923588752951195E-2</v>
      </c>
      <c r="J18" s="7">
        <f ca="1">'1.a Compute rate of return'!AF17</f>
        <v>2.3105334777416844E-2</v>
      </c>
      <c r="P18" s="31"/>
      <c r="Q18" s="32" t="s">
        <v>35</v>
      </c>
      <c r="R18" s="33" t="s">
        <v>36</v>
      </c>
      <c r="S18" s="33" t="s">
        <v>37</v>
      </c>
      <c r="T18" s="33" t="s">
        <v>38</v>
      </c>
      <c r="U18" s="33" t="s">
        <v>39</v>
      </c>
      <c r="V18" s="33" t="s">
        <v>40</v>
      </c>
      <c r="W18" s="33" t="s">
        <v>41</v>
      </c>
      <c r="X18" s="33" t="s">
        <v>42</v>
      </c>
      <c r="Y18" s="34" t="s">
        <v>27</v>
      </c>
    </row>
    <row r="19" spans="1:25" ht="19.25" customHeight="1" thickBot="1" x14ac:dyDescent="0.25">
      <c r="A19">
        <v>12</v>
      </c>
      <c r="B19" vm="103">
        <v>44562</v>
      </c>
      <c r="C19" s="26">
        <f ca="1">'1.a Compute rate of return'!D18</f>
        <v>-0.27770659833440098</v>
      </c>
      <c r="D19" s="7">
        <f ca="1">'1.a Compute rate of return'!H18</f>
        <v>-2.7777777777777804E-2</v>
      </c>
      <c r="E19" s="7">
        <f ca="1">'1.a Compute rate of return'!L18</f>
        <v>-0.20171097285067874</v>
      </c>
      <c r="F19" s="7">
        <f ca="1">'1.a Compute rate of return'!P18</f>
        <v>7.8125000000000069E-3</v>
      </c>
      <c r="G19" s="7">
        <f ca="1">'1.a Compute rate of return'!T18</f>
        <v>-6.2200956937798993E-2</v>
      </c>
      <c r="H19" s="7">
        <f ca="1">'1.a Compute rate of return'!X18</f>
        <v>1.6977928692700638E-3</v>
      </c>
      <c r="I19" s="7">
        <f ca="1">'1.a Compute rate of return'!AB18</f>
        <v>-7.1881188118811931E-2</v>
      </c>
      <c r="J19" s="7">
        <f ca="1">'1.a Compute rate of return'!AF18</f>
        <v>-2.7053192548158636E-3</v>
      </c>
      <c r="P19" s="35" t="s">
        <v>11</v>
      </c>
      <c r="Q19" s="158"/>
      <c r="R19" s="157"/>
      <c r="S19" s="159"/>
      <c r="T19" s="160"/>
      <c r="U19" s="171" t="s">
        <v>62</v>
      </c>
      <c r="V19" s="161"/>
      <c r="W19" s="172" t="s">
        <v>63</v>
      </c>
      <c r="X19" s="173" t="s">
        <v>174</v>
      </c>
      <c r="Y19" s="34" t="s">
        <v>28</v>
      </c>
    </row>
    <row r="20" spans="1:25" ht="19.25" customHeight="1" thickBot="1" x14ac:dyDescent="0.25">
      <c r="A20">
        <v>13</v>
      </c>
      <c r="B20" vm="112">
        <v>44593</v>
      </c>
      <c r="C20" s="26">
        <f ca="1">'1.a Compute rate of return'!D19</f>
        <v>3.6141906873614085E-2</v>
      </c>
      <c r="D20" s="7">
        <f ca="1">'1.a Compute rate of return'!H19</f>
        <v>8.5714285714285798E-2</v>
      </c>
      <c r="E20" s="7">
        <f ca="1">'1.a Compute rate of return'!L19</f>
        <v>-0.16986980781153124</v>
      </c>
      <c r="F20" s="7">
        <f ca="1">'1.a Compute rate of return'!P19</f>
        <v>2.3255813953488393E-2</v>
      </c>
      <c r="G20" s="7">
        <f ca="1">'1.a Compute rate of return'!T19</f>
        <v>1.0204081632653071E-2</v>
      </c>
      <c r="H20" s="7">
        <f ca="1">'1.a Compute rate of return'!X19</f>
        <v>-5.2542372881356013E-2</v>
      </c>
      <c r="I20" s="7">
        <f ca="1">'1.a Compute rate of return'!AB19</f>
        <v>-2.9869852784297113E-3</v>
      </c>
      <c r="J20" s="7">
        <f ca="1">'1.a Compute rate of return'!AF19</f>
        <v>-2.4459282914791582E-2</v>
      </c>
      <c r="P20" s="35" t="s">
        <v>12</v>
      </c>
      <c r="Q20" s="162"/>
      <c r="R20" s="165"/>
      <c r="S20" s="168" t="s">
        <v>71</v>
      </c>
      <c r="T20" s="169" t="s">
        <v>197</v>
      </c>
      <c r="U20" s="163"/>
      <c r="V20" s="170" t="s">
        <v>171</v>
      </c>
      <c r="W20" s="32"/>
      <c r="X20" s="155"/>
      <c r="Y20" s="34" t="s">
        <v>28</v>
      </c>
    </row>
    <row r="21" spans="1:25" ht="19.25" customHeight="1" thickBot="1" x14ac:dyDescent="0.25">
      <c r="A21">
        <v>14</v>
      </c>
      <c r="B21" vm="121">
        <v>44621</v>
      </c>
      <c r="C21" s="26">
        <f ca="1">'1.a Compute rate of return'!D20</f>
        <v>4.8362936015407774E-2</v>
      </c>
      <c r="D21" s="7">
        <f ca="1">'1.a Compute rate of return'!H20</f>
        <v>0.18421052631578949</v>
      </c>
      <c r="E21" s="7">
        <f ca="1">'1.a Compute rate of return'!L20</f>
        <v>9.6233863224154434E-2</v>
      </c>
      <c r="F21" s="7">
        <f ca="1">'1.a Compute rate of return'!P20</f>
        <v>4.5454545454545324E-2</v>
      </c>
      <c r="G21" s="7">
        <f ca="1">'1.a Compute rate of return'!T20</f>
        <v>0</v>
      </c>
      <c r="H21" s="7">
        <f ca="1">'1.a Compute rate of return'!X20</f>
        <v>8.2289803220035776E-2</v>
      </c>
      <c r="I21" s="7">
        <f ca="1">'1.a Compute rate of return'!AB20</f>
        <v>0.13171410228974967</v>
      </c>
      <c r="J21" s="7">
        <f ca="1">'1.a Compute rate of return'!AF20</f>
        <v>3.2493862063834464E-2</v>
      </c>
      <c r="P21" s="36" t="s">
        <v>13</v>
      </c>
      <c r="Q21" s="166" t="s">
        <v>69</v>
      </c>
      <c r="R21" s="167" t="s">
        <v>168</v>
      </c>
      <c r="S21" s="163"/>
      <c r="T21" s="155"/>
      <c r="U21" s="163"/>
      <c r="V21" s="156"/>
      <c r="W21" s="162"/>
      <c r="X21" s="164"/>
      <c r="Y21" s="37" t="s">
        <v>28</v>
      </c>
    </row>
    <row r="22" spans="1:25" ht="19.25" customHeight="1" x14ac:dyDescent="0.2">
      <c r="A22">
        <v>15</v>
      </c>
      <c r="B22" vm="128">
        <v>44652</v>
      </c>
      <c r="C22" s="26">
        <f ca="1">'1.a Compute rate of return'!D21</f>
        <v>-3.0822616860583896E-2</v>
      </c>
      <c r="D22" s="7">
        <f ca="1">'1.a Compute rate of return'!H21</f>
        <v>-7.7777777777777848E-2</v>
      </c>
      <c r="E22" s="7">
        <f ca="1">'1.a Compute rate of return'!L21</f>
        <v>-6.2287104622871105E-2</v>
      </c>
      <c r="F22" s="7">
        <f ca="1">'1.a Compute rate of return'!P21</f>
        <v>-1.4492753623188259E-2</v>
      </c>
      <c r="G22" s="7">
        <f ca="1">'1.a Compute rate of return'!T21</f>
        <v>2.0202020202020221E-2</v>
      </c>
      <c r="H22" s="7">
        <f ca="1">'1.a Compute rate of return'!X21</f>
        <v>-2.8099173553718996E-2</v>
      </c>
      <c r="I22" s="7">
        <f ca="1">'1.a Compute rate of return'!AB21</f>
        <v>-1.7868960953011256E-2</v>
      </c>
      <c r="J22" s="7">
        <f ca="1">'1.a Compute rate of return'!AF21</f>
        <v>3.0579524778872748E-2</v>
      </c>
      <c r="P22" s="38"/>
      <c r="Q22" s="38"/>
      <c r="R22" s="39"/>
      <c r="S22" s="38"/>
      <c r="T22" s="38"/>
      <c r="U22" s="38"/>
      <c r="V22" s="38"/>
    </row>
    <row r="23" spans="1:25" ht="19.25" customHeight="1" x14ac:dyDescent="0.2">
      <c r="A23">
        <v>16</v>
      </c>
      <c r="B23" vm="137">
        <v>44682</v>
      </c>
      <c r="C23" s="26">
        <f ca="1">'1.a Compute rate of return'!D22</f>
        <v>-0.11267902274641943</v>
      </c>
      <c r="D23" s="7">
        <f ca="1">'1.a Compute rate of return'!H22</f>
        <v>-0.24096385542168672</v>
      </c>
      <c r="E23" s="7">
        <f ca="1">'1.a Compute rate of return'!L22</f>
        <v>-7.3274519979242225E-2</v>
      </c>
      <c r="F23" s="7">
        <f ca="1">'1.a Compute rate of return'!P22</f>
        <v>-0.16176470588235306</v>
      </c>
      <c r="G23" s="7">
        <f ca="1">'1.a Compute rate of return'!T22</f>
        <v>-3.9603960396039639E-2</v>
      </c>
      <c r="H23" s="7">
        <f ca="1">'1.a Compute rate of return'!X22</f>
        <v>-2.2108843537414949E-2</v>
      </c>
      <c r="I23" s="7">
        <f ca="1">'1.a Compute rate of return'!AB22</f>
        <v>4.6207162110127459E-3</v>
      </c>
      <c r="J23" s="7">
        <f ca="1">'1.a Compute rate of return'!AF22</f>
        <v>-9.5964760481398459E-3</v>
      </c>
      <c r="P23" s="39"/>
      <c r="Q23" s="39"/>
      <c r="R23" s="39"/>
      <c r="S23" s="39"/>
      <c r="T23" s="39"/>
      <c r="U23" s="39"/>
      <c r="V23" s="39"/>
    </row>
    <row r="24" spans="1:25" ht="19.25" customHeight="1" x14ac:dyDescent="0.2">
      <c r="A24">
        <v>17</v>
      </c>
      <c r="B24" vm="146">
        <v>44713</v>
      </c>
      <c r="C24" s="26">
        <f ca="1">'1.a Compute rate of return'!D23</f>
        <v>2.8483266081176699E-3</v>
      </c>
      <c r="D24" s="7">
        <f ca="1">'1.a Compute rate of return'!H23</f>
        <v>-0.11111111111111104</v>
      </c>
      <c r="E24" s="7">
        <f ca="1">'1.a Compute rate of return'!L23</f>
        <v>-0.13808937171015803</v>
      </c>
      <c r="F24" s="7">
        <f ca="1">'1.a Compute rate of return'!P23</f>
        <v>-2.6315789473684043E-2</v>
      </c>
      <c r="G24" s="7">
        <f ca="1">'1.a Compute rate of return'!T23</f>
        <v>-7.7319587628865479E-3</v>
      </c>
      <c r="H24" s="7">
        <f ca="1">'1.a Compute rate of return'!X23</f>
        <v>3.8260869565217348E-2</v>
      </c>
      <c r="I24" s="7">
        <f ca="1">'1.a Compute rate of return'!AB23</f>
        <v>-0.13395937140666925</v>
      </c>
      <c r="J24" s="7">
        <f ca="1">'1.a Compute rate of return'!AF23</f>
        <v>-3.2598240365693205E-2</v>
      </c>
      <c r="P24" s="39"/>
      <c r="Q24" s="39"/>
      <c r="R24" s="39"/>
      <c r="S24" s="39"/>
      <c r="T24" s="39"/>
      <c r="U24" s="39"/>
      <c r="V24" s="39"/>
    </row>
    <row r="25" spans="1:25" ht="14.5" customHeight="1" x14ac:dyDescent="0.2">
      <c r="A25">
        <v>18</v>
      </c>
      <c r="B25" vm="155">
        <v>44743</v>
      </c>
      <c r="C25" s="26">
        <f ca="1">'1.a Compute rate of return'!D24</f>
        <v>0.17254437869822484</v>
      </c>
      <c r="D25" s="7">
        <f ca="1">'1.a Compute rate of return'!H24</f>
        <v>0.1249999999999999</v>
      </c>
      <c r="E25" s="7">
        <f ca="1">'1.a Compute rate of return'!L24</f>
        <v>0.20829002079002082</v>
      </c>
      <c r="F25" s="7">
        <f ca="1">'1.a Compute rate of return'!P24</f>
        <v>8.1081081081080947E-2</v>
      </c>
      <c r="G25" s="7">
        <f ca="1">'1.a Compute rate of return'!T24</f>
        <v>1.0389610389610398E-2</v>
      </c>
      <c r="H25" s="7">
        <f ca="1">'1.a Compute rate of return'!X24</f>
        <v>6.1976549413735364E-2</v>
      </c>
      <c r="I25" s="7">
        <f ca="1">'1.a Compute rate of return'!AB24</f>
        <v>0.11495906173932287</v>
      </c>
      <c r="J25" s="7">
        <f ca="1">'1.a Compute rate of return'!AF24</f>
        <v>1.9119726339794755E-2</v>
      </c>
      <c r="P25" s="39"/>
      <c r="Q25" s="39"/>
      <c r="S25" s="106"/>
      <c r="T25" s="106"/>
      <c r="U25" s="39"/>
      <c r="V25" s="39"/>
    </row>
    <row r="26" spans="1:25" x14ac:dyDescent="0.2">
      <c r="A26">
        <v>19</v>
      </c>
      <c r="B26" vm="163">
        <v>44774</v>
      </c>
      <c r="C26" s="26">
        <f ca="1">'1.a Compute rate of return'!D25</f>
        <v>9.9717400080742785E-2</v>
      </c>
      <c r="D26" s="7">
        <f ca="1">'1.a Compute rate of return'!H25</f>
        <v>0.23809523809523814</v>
      </c>
      <c r="E26" s="7">
        <f ca="1">'1.a Compute rate of return'!L25</f>
        <v>-5.6350145176900693E-2</v>
      </c>
      <c r="F26" s="7">
        <f ca="1">'1.a Compute rate of return'!P25</f>
        <v>2.5000000000000022E-2</v>
      </c>
      <c r="G26" s="7">
        <f ca="1">'1.a Compute rate of return'!T25</f>
        <v>2.0565552699228811E-2</v>
      </c>
      <c r="H26" s="7">
        <f ca="1">'1.a Compute rate of return'!X25</f>
        <v>-0.15615141955835965</v>
      </c>
      <c r="I26" s="7">
        <f ca="1">'1.a Compute rate of return'!AB25</f>
        <v>-3.2747841619529594E-2</v>
      </c>
      <c r="J26" s="7">
        <f ca="1">'1.a Compute rate of return'!AF25</f>
        <v>-2.5912764833827151E-2</v>
      </c>
      <c r="S26" s="107"/>
      <c r="T26" s="108"/>
      <c r="U26" s="2"/>
    </row>
    <row r="27" spans="1:25" x14ac:dyDescent="0.2">
      <c r="A27">
        <v>20</v>
      </c>
      <c r="B27" vm="172">
        <v>44805</v>
      </c>
      <c r="C27" s="26">
        <f ca="1">'1.a Compute rate of return'!D26</f>
        <v>-7.8744493392070472E-2</v>
      </c>
      <c r="D27" s="7">
        <f ca="1">'1.a Compute rate of return'!H26</f>
        <v>-0.15384615384615383</v>
      </c>
      <c r="E27" s="7">
        <f ca="1">'1.a Compute rate of return'!L26</f>
        <v>-0.16227920227920223</v>
      </c>
      <c r="F27" s="7">
        <f ca="1">'1.a Compute rate of return'!P26</f>
        <v>-8.1300813008130159E-3</v>
      </c>
      <c r="G27" s="7">
        <f ca="1">'1.a Compute rate of return'!T26</f>
        <v>-3.0226700251889196E-2</v>
      </c>
      <c r="H27" s="7">
        <f ca="1">'1.a Compute rate of return'!X26</f>
        <v>-9.3457943925233655E-2</v>
      </c>
      <c r="I27" s="7">
        <f ca="1">'1.a Compute rate of return'!AB26</f>
        <v>-6.9457268903252239E-2</v>
      </c>
      <c r="J27" s="7">
        <f ca="1">'1.a Compute rate of return'!AF26</f>
        <v>-7.9815485270064199E-2</v>
      </c>
      <c r="S27" s="107"/>
      <c r="T27" s="108"/>
      <c r="U27" s="2"/>
    </row>
    <row r="28" spans="1:25" x14ac:dyDescent="0.2">
      <c r="A28">
        <v>21</v>
      </c>
      <c r="B28" vm="179">
        <v>44835</v>
      </c>
      <c r="C28" s="26">
        <f ca="1">'1.a Compute rate of return'!D27</f>
        <v>0.1121737397888026</v>
      </c>
      <c r="D28" s="7">
        <f ca="1">'1.a Compute rate of return'!H27</f>
        <v>4.5454545454545324E-2</v>
      </c>
      <c r="E28" s="7">
        <f ca="1">'1.a Compute rate of return'!L27</f>
        <v>6.2032376547408348E-2</v>
      </c>
      <c r="F28" s="7">
        <f ca="1">'1.a Compute rate of return'!P27</f>
        <v>0</v>
      </c>
      <c r="G28" s="7">
        <f ca="1">'1.a Compute rate of return'!T27</f>
        <v>1.8181818181818139E-2</v>
      </c>
      <c r="H28" s="7">
        <f ca="1">'1.a Compute rate of return'!X27</f>
        <v>1.0309278350515611E-2</v>
      </c>
      <c r="I28" s="7">
        <f ca="1">'1.a Compute rate of return'!AB27</f>
        <v>0.15413450937155462</v>
      </c>
      <c r="J28" s="7">
        <f ca="1">'1.a Compute rate of return'!AF27</f>
        <v>0.13758737767126031</v>
      </c>
      <c r="S28" s="107"/>
      <c r="T28" s="108"/>
      <c r="U28" s="2"/>
    </row>
    <row r="29" spans="1:25" x14ac:dyDescent="0.2">
      <c r="A29">
        <v>22</v>
      </c>
      <c r="B29" vm="185">
        <v>44866</v>
      </c>
      <c r="C29" s="26">
        <f ca="1">'1.a Compute rate of return'!D28</f>
        <v>6.4851307774990999E-2</v>
      </c>
      <c r="D29" s="7">
        <f ca="1">'1.a Compute rate of return'!H28</f>
        <v>1.449275362318842E-2</v>
      </c>
      <c r="E29" s="7">
        <f ca="1">'1.a Compute rate of return'!L28</f>
        <v>-9.5171000384270441E-2</v>
      </c>
      <c r="F29" s="7">
        <f ca="1">'1.a Compute rate of return'!P28</f>
        <v>0.12295081967213126</v>
      </c>
      <c r="G29" s="7">
        <f ca="1">'1.a Compute rate of return'!T28</f>
        <v>1.5306122448979605E-2</v>
      </c>
      <c r="H29" s="7">
        <f ca="1">'1.a Compute rate of return'!X28</f>
        <v>-2.0408163265307499E-3</v>
      </c>
      <c r="I29" s="7">
        <f ca="1">'1.a Compute rate of return'!AB28</f>
        <v>3.0378295758502028E-2</v>
      </c>
      <c r="J29" s="7">
        <f ca="1">'1.a Compute rate of return'!AF28</f>
        <v>4.4698818448357582E-2</v>
      </c>
      <c r="P29" s="125"/>
      <c r="Q29" s="125"/>
      <c r="R29" s="125"/>
      <c r="S29" s="125"/>
      <c r="T29" s="125"/>
      <c r="U29" s="125"/>
      <c r="V29" s="125"/>
      <c r="W29" s="125"/>
      <c r="X29" s="125"/>
    </row>
    <row r="30" spans="1:25" x14ac:dyDescent="0.2">
      <c r="A30">
        <v>23</v>
      </c>
      <c r="B30" vm="192">
        <v>44896</v>
      </c>
      <c r="C30" s="26">
        <f ca="1">'1.a Compute rate of return'!D29</f>
        <v>-7.0323014804845221E-2</v>
      </c>
      <c r="D30" s="7">
        <f ca="1">'1.a Compute rate of return'!H29</f>
        <v>-9.9999999999999936E-2</v>
      </c>
      <c r="E30" s="7">
        <f ca="1">'1.a Compute rate of return'!L29</f>
        <v>-5.2378255945640505E-3</v>
      </c>
      <c r="F30" s="7">
        <f ca="1">'1.a Compute rate of return'!P29</f>
        <v>9.4890510948905021E-2</v>
      </c>
      <c r="G30" s="7">
        <f ca="1">'1.a Compute rate of return'!T29</f>
        <v>2.5125628140704099E-3</v>
      </c>
      <c r="H30" s="7">
        <f ca="1">'1.a Compute rate of return'!X29</f>
        <v>0</v>
      </c>
      <c r="I30" s="7">
        <f ca="1">'1.a Compute rate of return'!AB29</f>
        <v>-4.8766920081587291E-2</v>
      </c>
      <c r="J30" s="7">
        <f ca="1">'1.a Compute rate of return'!AF29</f>
        <v>1.0066380976388513E-2</v>
      </c>
      <c r="U30" t="s">
        <v>83</v>
      </c>
    </row>
    <row r="31" spans="1:25" ht="16" x14ac:dyDescent="0.2">
      <c r="A31">
        <v>24</v>
      </c>
      <c r="B31" vm="198">
        <v>44927</v>
      </c>
      <c r="C31" s="26">
        <f ca="1">'1.a Compute rate of return'!D30</f>
        <v>0.20973579442634813</v>
      </c>
      <c r="D31" s="7">
        <f ca="1">'1.a Compute rate of return'!H30</f>
        <v>-6.3492063492063544E-2</v>
      </c>
      <c r="E31" s="7">
        <f ca="1">'1.a Compute rate of return'!L30</f>
        <v>9.2927280489540368E-2</v>
      </c>
      <c r="F31" s="7">
        <f ca="1">'1.a Compute rate of return'!P30</f>
        <v>0.11000000000000003</v>
      </c>
      <c r="G31" s="7">
        <f ca="1">'1.a Compute rate of return'!T30</f>
        <v>2.2556390977443573E-2</v>
      </c>
      <c r="H31" s="7">
        <f ca="1">'1.a Compute rate of return'!X30</f>
        <v>-1.431492842535775E-2</v>
      </c>
      <c r="I31" s="7">
        <f ca="1">'1.a Compute rate of return'!AB30</f>
        <v>7.2709551656920154E-2</v>
      </c>
      <c r="J31" s="7">
        <f ca="1">'1.a Compute rate of return'!AF30</f>
        <v>4.0696126713696289E-2</v>
      </c>
      <c r="T31" s="8" t="s">
        <v>69</v>
      </c>
      <c r="U31" s="40">
        <v>0.10936385592244387</v>
      </c>
    </row>
    <row r="32" spans="1:25" ht="16" x14ac:dyDescent="0.2">
      <c r="A32">
        <v>25</v>
      </c>
      <c r="B32" vm="207">
        <v>44958</v>
      </c>
      <c r="C32" s="26">
        <f ca="1">'1.a Compute rate of return'!D31</f>
        <v>-8.7359760658189928E-2</v>
      </c>
      <c r="D32" s="7">
        <f ca="1">'1.a Compute rate of return'!H31</f>
        <v>-0.1016949152542372</v>
      </c>
      <c r="E32" s="7">
        <f ca="1">'1.a Compute rate of return'!L31</f>
        <v>1.1718750000000075E-2</v>
      </c>
      <c r="F32" s="7">
        <f ca="1">'1.a Compute rate of return'!P31</f>
        <v>-3.9039039039039006E-2</v>
      </c>
      <c r="G32" s="7">
        <f ca="1">'1.a Compute rate of return'!T31</f>
        <v>1.9607843137254919E-2</v>
      </c>
      <c r="H32" s="7">
        <f ca="1">'1.a Compute rate of return'!X31</f>
        <v>5.1867219917012444E-2</v>
      </c>
      <c r="I32" s="7">
        <f ca="1">'1.a Compute rate of return'!AB31</f>
        <v>-8.5135380701435615E-2</v>
      </c>
      <c r="J32" s="7">
        <f ca="1">'1.a Compute rate of return'!AF31</f>
        <v>2.5539568345323716E-2</v>
      </c>
      <c r="T32" s="8" t="s">
        <v>168</v>
      </c>
      <c r="U32" s="40">
        <v>0.13553167397727031</v>
      </c>
    </row>
    <row r="33" spans="1:24" ht="16" x14ac:dyDescent="0.2">
      <c r="A33">
        <v>26</v>
      </c>
      <c r="B33" vm="215">
        <v>44986</v>
      </c>
      <c r="C33" s="26">
        <f ca="1">'1.a Compute rate of return'!D32</f>
        <v>4.6877561055564655E-2</v>
      </c>
      <c r="D33" s="7">
        <f ca="1">'1.a Compute rate of return'!H32</f>
        <v>-7.5471698113207614E-2</v>
      </c>
      <c r="E33" s="7">
        <f ca="1">'1.a Compute rate of return'!L32</f>
        <v>0.15083655083655081</v>
      </c>
      <c r="F33" s="7">
        <f ca="1">'1.a Compute rate of return'!P32</f>
        <v>4.9999999999999906E-2</v>
      </c>
      <c r="G33" s="7">
        <f ca="1">'1.a Compute rate of return'!T32</f>
        <v>1.4423076923076828E-2</v>
      </c>
      <c r="H33" s="7">
        <f ca="1">'1.a Compute rate of return'!X32</f>
        <v>-3.7475345167652933E-2</v>
      </c>
      <c r="I33" s="7">
        <f ca="1">'1.a Compute rate of return'!AB32</f>
        <v>-2.3537590624689686E-2</v>
      </c>
      <c r="J33" s="7">
        <f ca="1">'1.a Compute rate of return'!AF32</f>
        <v>-5.7593826727463993E-2</v>
      </c>
      <c r="T33" s="9" t="s">
        <v>71</v>
      </c>
      <c r="U33" s="41">
        <v>9.4151228850625754E-2</v>
      </c>
    </row>
    <row r="34" spans="1:24" ht="16" x14ac:dyDescent="0.2">
      <c r="A34">
        <v>27</v>
      </c>
      <c r="B34" vm="224">
        <v>45017</v>
      </c>
      <c r="C34" s="26">
        <f ca="1">'1.a Compute rate of return'!D33</f>
        <v>-3.8046031000469702E-2</v>
      </c>
      <c r="D34" s="7">
        <f ca="1">'1.a Compute rate of return'!H33</f>
        <v>0.14285714285714299</v>
      </c>
      <c r="E34" s="7">
        <f ca="1">'1.a Compute rate of return'!L33</f>
        <v>4.3838067546410217E-2</v>
      </c>
      <c r="F34" s="7">
        <f ca="1">'1.a Compute rate of return'!P33</f>
        <v>-2.3809523809523832E-2</v>
      </c>
      <c r="G34" s="7">
        <f ca="1">'1.a Compute rate of return'!T33</f>
        <v>3.5545023696682554E-2</v>
      </c>
      <c r="H34" s="7">
        <f ca="1">'1.a Compute rate of return'!X33</f>
        <v>0.10040983606557381</v>
      </c>
      <c r="I34" s="7">
        <f ca="1">'1.a Compute rate of return'!AB33</f>
        <v>1.0577705451586721E-2</v>
      </c>
      <c r="J34" s="7">
        <f ca="1">'1.a Compute rate of return'!AF33</f>
        <v>3.0560931632838767E-2</v>
      </c>
      <c r="T34" s="9" t="s">
        <v>197</v>
      </c>
      <c r="U34" s="41">
        <v>8.0188898431855518E-2</v>
      </c>
    </row>
    <row r="35" spans="1:24" ht="16" x14ac:dyDescent="0.2">
      <c r="A35">
        <v>28</v>
      </c>
      <c r="B35" vm="231">
        <v>45047</v>
      </c>
      <c r="C35" s="26">
        <f ca="1">'1.a Compute rate of return'!D34</f>
        <v>-3.4016927083333273E-2</v>
      </c>
      <c r="D35" s="7">
        <f ca="1">'1.a Compute rate of return'!H34</f>
        <v>-0.10714285714285723</v>
      </c>
      <c r="E35" s="7">
        <f ca="1">'1.a Compute rate of return'!L34</f>
        <v>0.17795157488750801</v>
      </c>
      <c r="F35" s="7">
        <f ca="1">'1.a Compute rate of return'!P34</f>
        <v>-4.2682926829268199E-2</v>
      </c>
      <c r="G35" s="7">
        <f ca="1">'1.a Compute rate of return'!T34</f>
        <v>-2.2883295194507519E-3</v>
      </c>
      <c r="H35" s="7">
        <f ca="1">'1.a Compute rate of return'!X34</f>
        <v>1.8621973929236431E-2</v>
      </c>
      <c r="I35" s="7">
        <f ca="1">'1.a Compute rate of return'!AB34</f>
        <v>-2.5966183574879211E-2</v>
      </c>
      <c r="J35" s="7">
        <f ca="1">'1.a Compute rate of return'!AF34</f>
        <v>6.569770708100256E-2</v>
      </c>
      <c r="T35" s="8" t="s">
        <v>62</v>
      </c>
      <c r="U35" s="4">
        <v>3.5698466399920525E-2</v>
      </c>
    </row>
    <row r="36" spans="1:24" ht="16" x14ac:dyDescent="0.2">
      <c r="A36">
        <v>29</v>
      </c>
      <c r="B36" vm="240">
        <v>45078</v>
      </c>
      <c r="C36" s="26">
        <f ca="1">'1.a Compute rate of return'!D35</f>
        <v>0.10598146588037066</v>
      </c>
      <c r="D36" s="7">
        <f ca="1">'1.a Compute rate of return'!H35</f>
        <v>-6.0000000000000053E-2</v>
      </c>
      <c r="E36" s="7">
        <f ca="1">'1.a Compute rate of return'!L35</f>
        <v>8.1673487949067786E-2</v>
      </c>
      <c r="F36" s="7">
        <f ca="1">'1.a Compute rate of return'!P35</f>
        <v>-2.5477707006369449E-2</v>
      </c>
      <c r="G36" s="7">
        <f ca="1">'1.a Compute rate of return'!T35</f>
        <v>-1.376146788990837E-2</v>
      </c>
      <c r="H36" s="7">
        <f ca="1">'1.a Compute rate of return'!X35</f>
        <v>-0.10968921389396703</v>
      </c>
      <c r="I36" s="7">
        <f ca="1">'1.a Compute rate of return'!AB35</f>
        <v>3.6061169663153488E-2</v>
      </c>
      <c r="J36" s="7">
        <f ca="1">'1.a Compute rate of return'!AF35</f>
        <v>1.4286037036758131E-2</v>
      </c>
      <c r="T36" s="8" t="s">
        <v>171</v>
      </c>
      <c r="U36" s="4">
        <v>7.254003966278906E-2</v>
      </c>
    </row>
    <row r="37" spans="1:24" ht="16" x14ac:dyDescent="0.2">
      <c r="A37">
        <v>30</v>
      </c>
      <c r="B37" vm="249">
        <v>45108</v>
      </c>
      <c r="C37" s="26">
        <f ca="1">'1.a Compute rate of return'!D36</f>
        <v>4.7989031078610689E-2</v>
      </c>
      <c r="D37" s="7">
        <f ca="1">'1.a Compute rate of return'!H36</f>
        <v>-2.1276595744680753E-2</v>
      </c>
      <c r="E37" s="7">
        <f ca="1">'1.a Compute rate of return'!L36</f>
        <v>2.757924829731764E-2</v>
      </c>
      <c r="F37" s="7">
        <f ca="1">'1.a Compute rate of return'!P36</f>
        <v>7.1895424836601218E-2</v>
      </c>
      <c r="G37" s="7">
        <f ca="1">'1.a Compute rate of return'!T36</f>
        <v>-9.3023255813953574E-3</v>
      </c>
      <c r="H37" s="7">
        <f ca="1">'1.a Compute rate of return'!X36</f>
        <v>3.0800821355236031E-2</v>
      </c>
      <c r="I37" s="7">
        <f ca="1">'1.a Compute rate of return'!AB36</f>
        <v>5.4253515508128035E-2</v>
      </c>
      <c r="J37" s="7">
        <f ca="1">'1.a Compute rate of return'!AF36</f>
        <v>5.4861750467761511E-2</v>
      </c>
      <c r="T37" s="3" t="s">
        <v>63</v>
      </c>
      <c r="U37" s="42">
        <v>6.2967475865032346E-2</v>
      </c>
    </row>
    <row r="38" spans="1:24" ht="16" x14ac:dyDescent="0.2">
      <c r="A38">
        <v>31</v>
      </c>
      <c r="B38" vm="257">
        <v>45139</v>
      </c>
      <c r="C38" s="26">
        <f ca="1">'1.a Compute rate of return'!D37</f>
        <v>6.585259485390299E-2</v>
      </c>
      <c r="D38" s="7">
        <f ca="1">'1.a Compute rate of return'!H37</f>
        <v>-0.17391304347826089</v>
      </c>
      <c r="E38" s="7">
        <f ca="1">'1.a Compute rate of return'!L37</f>
        <v>2.3647819327387291E-2</v>
      </c>
      <c r="F38" s="7">
        <f ca="1">'1.a Compute rate of return'!P37</f>
        <v>3.0487804878048811E-2</v>
      </c>
      <c r="G38" s="7">
        <f ca="1">'1.a Compute rate of return'!T37</f>
        <v>-5.8685446009389672E-2</v>
      </c>
      <c r="H38" s="7">
        <f ca="1">'1.a Compute rate of return'!X37</f>
        <v>0.12151394422310764</v>
      </c>
      <c r="I38" s="7">
        <f ca="1">'1.a Compute rate of return'!AB37</f>
        <v>-3.3393245672121721E-2</v>
      </c>
      <c r="J38" s="7">
        <f ca="1">'1.a Compute rate of return'!AF37</f>
        <v>-4.2168462691714821E-2</v>
      </c>
      <c r="T38" s="9" t="s">
        <v>174</v>
      </c>
      <c r="U38" s="42">
        <v>4.8592930823745273E-2</v>
      </c>
    </row>
    <row r="39" spans="1:24" x14ac:dyDescent="0.2">
      <c r="A39">
        <v>32</v>
      </c>
      <c r="B39" vm="266">
        <v>45170</v>
      </c>
      <c r="C39" s="26">
        <f ca="1">'1.a Compute rate of return'!D38</f>
        <v>0.13734315330060023</v>
      </c>
      <c r="D39" s="7">
        <f ca="1">'1.a Compute rate of return'!H38</f>
        <v>-0.10526315789473679</v>
      </c>
      <c r="E39" s="7">
        <f ca="1">'1.a Compute rate of return'!L38</f>
        <v>-0.10127897681854507</v>
      </c>
      <c r="F39" s="7">
        <f ca="1">'1.a Compute rate of return'!P38</f>
        <v>4.7337278106508916E-2</v>
      </c>
      <c r="G39" s="7">
        <f ca="1">'1.a Compute rate of return'!T38</f>
        <v>-3.9900249376558533E-2</v>
      </c>
      <c r="H39" s="7">
        <f ca="1">'1.a Compute rate of return'!X38</f>
        <v>-3.0195381882770857E-2</v>
      </c>
      <c r="I39" s="7">
        <f ca="1">'1.a Compute rate of return'!AB38</f>
        <v>-2.1628498727735444E-2</v>
      </c>
      <c r="J39" s="7">
        <f ca="1">'1.a Compute rate of return'!AF38</f>
        <v>2.4948193001278585E-2</v>
      </c>
    </row>
    <row r="40" spans="1:24" x14ac:dyDescent="0.2">
      <c r="A40">
        <v>33</v>
      </c>
      <c r="B40" vm="274">
        <v>45200</v>
      </c>
      <c r="C40" s="26">
        <f ca="1">'1.a Compute rate of return'!D39</f>
        <v>-0.10612783307350994</v>
      </c>
      <c r="D40" s="7">
        <f ca="1">'1.a Compute rate of return'!H39</f>
        <v>5.8823529411764594E-2</v>
      </c>
      <c r="E40" s="7">
        <f ca="1">'1.a Compute rate of return'!L39</f>
        <v>-5.1053989148803776E-2</v>
      </c>
      <c r="F40" s="7">
        <f ca="1">'1.a Compute rate of return'!P39</f>
        <v>-4.5197740112994392E-2</v>
      </c>
      <c r="G40" s="7">
        <f ca="1">'1.a Compute rate of return'!T39</f>
        <v>-1.0389610389610398E-2</v>
      </c>
      <c r="H40" s="7">
        <f ca="1">'1.a Compute rate of return'!X39</f>
        <v>-5.1282051282051329E-2</v>
      </c>
      <c r="I40" s="7">
        <f ca="1">'1.a Compute rate of return'!AB39</f>
        <v>-3.4110233069920941E-2</v>
      </c>
      <c r="J40" s="7">
        <f ca="1">'1.a Compute rate of return'!AF39</f>
        <v>-4.2236354381009068E-2</v>
      </c>
    </row>
    <row r="41" spans="1:24" x14ac:dyDescent="0.2">
      <c r="A41">
        <v>34</v>
      </c>
      <c r="B41" vm="282">
        <v>45231</v>
      </c>
      <c r="C41" s="26">
        <f ca="1">'1.a Compute rate of return'!D40</f>
        <v>0.18607459082371866</v>
      </c>
      <c r="D41" s="7">
        <f ca="1">'1.a Compute rate of return'!H40</f>
        <v>5.5555555555555608E-2</v>
      </c>
      <c r="E41" s="7">
        <f ca="1">'1.a Compute rate of return'!L40</f>
        <v>-3.4117536788827452E-2</v>
      </c>
      <c r="F41" s="7">
        <f ca="1">'1.a Compute rate of return'!P40</f>
        <v>-5.9171597633136145E-3</v>
      </c>
      <c r="G41" s="7">
        <f ca="1">'1.a Compute rate of return'!T40</f>
        <v>2.6246719160104427E-3</v>
      </c>
      <c r="H41" s="7">
        <f ca="1">'1.a Compute rate of return'!X40</f>
        <v>-8.8803088803088806E-2</v>
      </c>
      <c r="I41" s="7">
        <f ca="1">'1.a Compute rate of return'!AB40</f>
        <v>8.3885666942833406E-2</v>
      </c>
      <c r="J41" s="7">
        <f ca="1">'1.a Compute rate of return'!AF40</f>
        <v>4.4098932522869179E-2</v>
      </c>
    </row>
    <row r="42" spans="1:24" x14ac:dyDescent="0.2">
      <c r="A42">
        <v>35</v>
      </c>
      <c r="B42" vm="287">
        <v>45261</v>
      </c>
      <c r="C42" s="26">
        <f ca="1">'1.a Compute rate of return'!D41</f>
        <v>8.3927157561361862E-2</v>
      </c>
      <c r="D42" s="7">
        <f ca="1">'1.a Compute rate of return'!H41</f>
        <v>0.18421052631578949</v>
      </c>
      <c r="E42" s="7">
        <f ca="1">'1.a Compute rate of return'!L41</f>
        <v>8.9762251334303739E-2</v>
      </c>
      <c r="F42" s="7">
        <f ca="1">'1.a Compute rate of return'!P41</f>
        <v>0.1785714285714286</v>
      </c>
      <c r="G42" s="7">
        <f ca="1">'1.a Compute rate of return'!T41</f>
        <v>3.6649214659685896E-2</v>
      </c>
      <c r="H42" s="7">
        <f ca="1">'1.a Compute rate of return'!X41</f>
        <v>9.7457627118644072E-2</v>
      </c>
      <c r="I42" s="7">
        <f ca="1">'1.a Compute rate of return'!AB41</f>
        <v>6.8220905790177727E-2</v>
      </c>
      <c r="J42" s="7">
        <f ca="1">'1.a Compute rate of return'!AF41</f>
        <v>-8.5892297654810244E-3</v>
      </c>
    </row>
    <row r="43" spans="1:24" x14ac:dyDescent="0.2">
      <c r="A43">
        <v>36</v>
      </c>
      <c r="B43" vm="293">
        <v>45292</v>
      </c>
      <c r="C43" s="26">
        <f ca="1">'1.a Compute rate of return'!D42</f>
        <v>5.9793384117708487E-2</v>
      </c>
      <c r="D43" s="7">
        <f ca="1">'1.a Compute rate of return'!H42</f>
        <v>-4.4444444444444481E-2</v>
      </c>
      <c r="E43" s="7">
        <f ca="1">'1.a Compute rate of return'!L42</f>
        <v>-1.3446126447016838E-2</v>
      </c>
      <c r="F43" s="7">
        <f ca="1">'1.a Compute rate of return'!P42</f>
        <v>-6.5656565656565608E-2</v>
      </c>
      <c r="G43" s="7">
        <f ca="1">'1.a Compute rate of return'!T42</f>
        <v>2.0202020202020221E-2</v>
      </c>
      <c r="H43" s="7">
        <f ca="1">'1.a Compute rate of return'!X42</f>
        <v>2.1235521235521297E-2</v>
      </c>
      <c r="I43" s="7">
        <f ca="1">'1.a Compute rate of return'!AB42</f>
        <v>5.1252236135957106E-2</v>
      </c>
      <c r="J43" s="7">
        <f ca="1">'1.a Compute rate of return'!AF42</f>
        <v>2.4544580160400314E-2</v>
      </c>
    </row>
    <row r="44" spans="1:24" x14ac:dyDescent="0.2">
      <c r="A44">
        <v>37</v>
      </c>
      <c r="B44" vm="301">
        <v>45323</v>
      </c>
      <c r="C44" s="26">
        <f ca="1">'1.a Compute rate of return'!D43</f>
        <v>2.2252855454903415E-2</v>
      </c>
      <c r="D44" s="7">
        <f ca="1">'1.a Compute rate of return'!H43</f>
        <v>-4.6511627906976785E-2</v>
      </c>
      <c r="E44" s="7">
        <f ca="1">'1.a Compute rate of return'!L43</f>
        <v>0.14911093058940333</v>
      </c>
      <c r="F44" s="7">
        <f ca="1">'1.a Compute rate of return'!P43</f>
        <v>0.10270270270270267</v>
      </c>
      <c r="G44" s="7">
        <f ca="1">'1.a Compute rate of return'!T43</f>
        <v>-5.4455445544554504E-2</v>
      </c>
      <c r="H44" s="7">
        <f ca="1">'1.a Compute rate of return'!X43</f>
        <v>-0.11342155009451789</v>
      </c>
      <c r="I44" s="7">
        <f ca="1">'1.a Compute rate of return'!AB43</f>
        <v>-9.5294818344252921E-3</v>
      </c>
      <c r="J44" s="7">
        <f ca="1">'1.a Compute rate of return'!AF43</f>
        <v>7.8229443860156955E-2</v>
      </c>
    </row>
    <row r="45" spans="1:24" x14ac:dyDescent="0.2">
      <c r="A45">
        <v>38</v>
      </c>
      <c r="B45" vm="309">
        <v>45352</v>
      </c>
      <c r="C45" s="26">
        <f ca="1">'1.a Compute rate of return'!D44</f>
        <v>-6.7424388364470411E-4</v>
      </c>
      <c r="D45" s="7">
        <f ca="1">'1.a Compute rate of return'!H44</f>
        <v>0.51219512195121963</v>
      </c>
      <c r="E45" s="7">
        <f ca="1">'1.a Compute rate of return'!L44</f>
        <v>4.7207603487550001E-2</v>
      </c>
      <c r="F45" s="7">
        <f ca="1">'1.a Compute rate of return'!P44</f>
        <v>-3.4313725490196109E-2</v>
      </c>
      <c r="G45" s="7">
        <f ca="1">'1.a Compute rate of return'!T44</f>
        <v>1.0471204188481685E-2</v>
      </c>
      <c r="H45" s="7">
        <f ca="1">'1.a Compute rate of return'!X44</f>
        <v>-3.8379530916844477E-2</v>
      </c>
      <c r="I45" s="7">
        <f ca="1">'1.a Compute rate of return'!AB44</f>
        <v>3.3759986255476396E-2</v>
      </c>
      <c r="J45" s="7">
        <f ca="1">'1.a Compute rate of return'!AF44</f>
        <v>7.0583152216606798E-2</v>
      </c>
    </row>
    <row r="46" spans="1:24" x14ac:dyDescent="0.2">
      <c r="A46">
        <v>39</v>
      </c>
      <c r="B46" vm="318">
        <v>45383</v>
      </c>
      <c r="C46" s="26">
        <f ca="1">'1.a Compute rate of return'!D45</f>
        <v>7.3831325301204787E-2</v>
      </c>
      <c r="D46" s="7">
        <f ca="1">'1.a Compute rate of return'!H45</f>
        <v>4.8387096774193589E-2</v>
      </c>
      <c r="E46" s="7">
        <f ca="1">'1.a Compute rate of return'!L45</f>
        <v>-8.4308430843084273E-2</v>
      </c>
      <c r="F46" s="7">
        <f ca="1">'1.a Compute rate of return'!P45</f>
        <v>4.5685279187817299E-2</v>
      </c>
      <c r="G46" s="7">
        <f ca="1">'1.a Compute rate of return'!T45</f>
        <v>-4.9222797927461127E-2</v>
      </c>
      <c r="H46" s="7">
        <f ca="1">'1.a Compute rate of return'!X45</f>
        <v>0</v>
      </c>
      <c r="I46" s="7">
        <f ca="1">'1.a Compute rate of return'!AB45</f>
        <v>-4.8196775801894604E-2</v>
      </c>
      <c r="J46" s="7">
        <f ca="1">'1.a Compute rate of return'!AF45</f>
        <v>1.4651029118614595E-2</v>
      </c>
    </row>
    <row r="47" spans="1:24" x14ac:dyDescent="0.2">
      <c r="A47">
        <v>40</v>
      </c>
      <c r="B47" vm="326">
        <v>45413</v>
      </c>
      <c r="C47" s="26">
        <f ca="1">'1.a Compute rate of return'!D46</f>
        <v>7.8179696616102759E-2</v>
      </c>
      <c r="D47" s="7">
        <f ca="1">'1.a Compute rate of return'!H46</f>
        <v>0.2</v>
      </c>
      <c r="E47" s="7">
        <f ca="1">'1.a Compute rate of return'!L46</f>
        <v>0.10583224115334208</v>
      </c>
      <c r="F47" s="7">
        <f ca="1">'1.a Compute rate of return'!P46</f>
        <v>0.1116504854368932</v>
      </c>
      <c r="G47" s="7">
        <f ca="1">'1.a Compute rate of return'!T46</f>
        <v>-5.449591280653944E-2</v>
      </c>
      <c r="H47" s="7">
        <f ca="1">'1.a Compute rate of return'!X46</f>
        <v>3.1042128603104339E-2</v>
      </c>
      <c r="I47" s="7">
        <f ca="1">'1.a Compute rate of return'!AB46</f>
        <v>4.365287235900122E-2</v>
      </c>
      <c r="J47" s="7">
        <f ca="1">'1.a Compute rate of return'!AF46</f>
        <v>-4.2715778562560917E-2</v>
      </c>
    </row>
    <row r="48" spans="1:24" x14ac:dyDescent="0.2">
      <c r="A48">
        <v>41</v>
      </c>
      <c r="B48" vm="334">
        <v>45444</v>
      </c>
      <c r="C48" s="26">
        <f ca="1">'1.a Compute rate of return'!D47</f>
        <v>0.19264069264069253</v>
      </c>
      <c r="D48" s="7">
        <f ca="1">'1.a Compute rate of return'!H47</f>
        <v>0.12820512820512817</v>
      </c>
      <c r="E48" s="7">
        <f ca="1">'1.a Compute rate of return'!L47</f>
        <v>1.0370370370370412E-2</v>
      </c>
      <c r="F48" s="7">
        <f ca="1">'1.a Compute rate of return'!P47</f>
        <v>9.6069868995633079E-2</v>
      </c>
      <c r="G48" s="7">
        <f ca="1">'1.a Compute rate of return'!T47</f>
        <v>4.3227665706051847E-2</v>
      </c>
      <c r="H48" s="7">
        <f ca="1">'1.a Compute rate of return'!X47</f>
        <v>-1.5053763440860275E-2</v>
      </c>
      <c r="I48" s="7">
        <f ca="1">'1.a Compute rate of return'!AB47</f>
        <v>6.5584741509118194E-2</v>
      </c>
      <c r="J48" s="7">
        <f ca="1">'1.a Compute rate of return'!AF47</f>
        <v>9.4279994460043079E-2</v>
      </c>
      <c r="P48" s="125"/>
      <c r="Q48" s="125"/>
      <c r="R48" s="125"/>
      <c r="S48" s="125"/>
      <c r="T48" s="125"/>
      <c r="U48" s="125"/>
      <c r="V48" s="125"/>
      <c r="W48" s="125"/>
      <c r="X48" s="125"/>
    </row>
    <row r="49" spans="1:10" x14ac:dyDescent="0.2">
      <c r="A49">
        <v>42</v>
      </c>
      <c r="B49" vm="343">
        <v>45474</v>
      </c>
      <c r="C49" s="26">
        <f ca="1">'1.a Compute rate of return'!D48</f>
        <v>3.4901577551305321E-3</v>
      </c>
      <c r="D49" s="7">
        <f ca="1">'1.a Compute rate of return'!H48</f>
        <v>2.2727272727272749E-2</v>
      </c>
      <c r="E49" s="7">
        <f ca="1">'1.a Compute rate of return'!L48</f>
        <v>1.3049853372434025E-2</v>
      </c>
      <c r="F49" s="7">
        <f ca="1">'1.a Compute rate of return'!P48</f>
        <v>-0.14741035856573692</v>
      </c>
      <c r="G49" s="7">
        <f ca="1">'1.a Compute rate of return'!T48</f>
        <v>8.8397790055248573E-2</v>
      </c>
      <c r="H49" s="7">
        <f ca="1">'1.a Compute rate of return'!X48</f>
        <v>3.7117903930130987E-2</v>
      </c>
      <c r="I49" s="7">
        <f ca="1">'1.a Compute rate of return'!AB48</f>
        <v>7.9368817710786729E-2</v>
      </c>
      <c r="J49" s="7">
        <f ca="1">'1.a Compute rate of return'!AF48</f>
        <v>2.2971775724591834E-2</v>
      </c>
    </row>
    <row r="50" spans="1:10" x14ac:dyDescent="0.2">
      <c r="A50">
        <v>43</v>
      </c>
      <c r="B50" vm="351">
        <v>45505</v>
      </c>
      <c r="C50" s="26">
        <f ca="1">'1.a Compute rate of return'!D49</f>
        <v>4.8274902615470218E-2</v>
      </c>
      <c r="D50" s="7">
        <f ca="1">'1.a Compute rate of return'!H49</f>
        <v>-8.8888888888888962E-2</v>
      </c>
      <c r="E50" s="7">
        <f ca="1">'1.a Compute rate of return'!L49</f>
        <v>3.3724127949051934E-2</v>
      </c>
      <c r="F50" s="7">
        <f ca="1">'1.a Compute rate of return'!P49</f>
        <v>-0.12149532710280384</v>
      </c>
      <c r="G50" s="7">
        <f ca="1">'1.a Compute rate of return'!T49</f>
        <v>-2.5380710659897937E-3</v>
      </c>
      <c r="H50" s="7">
        <f ca="1">'1.a Compute rate of return'!X49</f>
        <v>4.4210526315789464E-2</v>
      </c>
      <c r="I50" s="7">
        <f ca="1">'1.a Compute rate of return'!AB49</f>
        <v>1.4619245036002551E-2</v>
      </c>
      <c r="J50" s="7">
        <f ca="1">'1.a Compute rate of return'!AF49</f>
        <v>-7.8564800494897082E-3</v>
      </c>
    </row>
    <row r="51" spans="1:10" x14ac:dyDescent="0.2">
      <c r="A51">
        <v>44</v>
      </c>
      <c r="B51" vm="359">
        <v>45536</v>
      </c>
      <c r="C51" s="26">
        <f ca="1">'1.a Compute rate of return'!D50</f>
        <v>0.18281353682813545</v>
      </c>
      <c r="D51" s="7">
        <f ca="1">'1.a Compute rate of return'!H50</f>
        <v>8.5365853658536661E-2</v>
      </c>
      <c r="E51" s="7">
        <f ca="1">'1.a Compute rate of return'!L50</f>
        <v>4.6205544665359803E-2</v>
      </c>
      <c r="F51" s="7">
        <f ca="1">'1.a Compute rate of return'!P50</f>
        <v>5.3191489361702178E-3</v>
      </c>
      <c r="G51" s="7">
        <f ca="1">'1.a Compute rate of return'!T50</f>
        <v>-1.2722646310432637E-2</v>
      </c>
      <c r="H51" s="7">
        <f ca="1">'1.a Compute rate of return'!X50</f>
        <v>-8.0645161290322648E-3</v>
      </c>
      <c r="I51" s="7">
        <f ca="1">'1.a Compute rate of return'!AB50</f>
        <v>-2.9462365591397949E-2</v>
      </c>
      <c r="J51" s="7">
        <f ca="1">'1.a Compute rate of return'!AF50</f>
        <v>2.3767416023308268E-2</v>
      </c>
    </row>
    <row r="52" spans="1:10" x14ac:dyDescent="0.2">
      <c r="A52">
        <v>45</v>
      </c>
      <c r="B52" vm="367">
        <v>45566</v>
      </c>
      <c r="C52" s="26">
        <f ca="1">'1.a Compute rate of return'!D51</f>
        <v>9.3015427769986045E-2</v>
      </c>
      <c r="D52" s="7">
        <f ca="1">'1.a Compute rate of return'!H51</f>
        <v>-5.6179775280898923E-2</v>
      </c>
      <c r="E52" s="7">
        <f ca="1">'1.a Compute rate of return'!L51</f>
        <v>4.0149892933620367E-4</v>
      </c>
      <c r="F52" s="7">
        <f ca="1">'1.a Compute rate of return'!P51</f>
        <v>5.2910052910052959E-3</v>
      </c>
      <c r="G52" s="7">
        <f ca="1">'1.a Compute rate of return'!T51</f>
        <v>-1.546391752577321E-2</v>
      </c>
      <c r="H52" s="7">
        <f ca="1">'1.a Compute rate of return'!X51</f>
        <v>-8.1300813008130149E-2</v>
      </c>
      <c r="I52" s="7">
        <f ca="1">'1.a Compute rate of return'!AB51</f>
        <v>5.4361474259546599E-2</v>
      </c>
      <c r="J52" s="7">
        <f ca="1">'1.a Compute rate of return'!AF51</f>
        <v>-9.3958839716295709E-3</v>
      </c>
    </row>
    <row r="53" spans="1:10" x14ac:dyDescent="0.2">
      <c r="A53">
        <v>46</v>
      </c>
      <c r="B53" vm="375">
        <v>45597</v>
      </c>
      <c r="C53" s="26">
        <f ca="1">'1.a Compute rate of return'!D52</f>
        <v>0.2928707077965404</v>
      </c>
      <c r="D53" s="7">
        <f ca="1">'1.a Compute rate of return'!H52</f>
        <v>0.1785714285714286</v>
      </c>
      <c r="E53" s="7">
        <f ca="1">'1.a Compute rate of return'!L52</f>
        <v>0.16287625418060198</v>
      </c>
      <c r="F53" s="7">
        <f ca="1">'1.a Compute rate of return'!P52</f>
        <v>-1.0526315789473694E-2</v>
      </c>
      <c r="G53" s="7">
        <f ca="1">'1.a Compute rate of return'!T52</f>
        <v>3.1413612565445052E-2</v>
      </c>
      <c r="H53" s="7">
        <f ca="1">'1.a Compute rate of return'!X52</f>
        <v>-4.4247787610618532E-3</v>
      </c>
      <c r="I53" s="7">
        <f ca="1">'1.a Compute rate of return'!AB52</f>
        <v>0.11089316987740815</v>
      </c>
      <c r="J53" s="7">
        <f ca="1">'1.a Compute rate of return'!AF52</f>
        <v>9.9327050985389673E-2</v>
      </c>
    </row>
    <row r="54" spans="1:10" x14ac:dyDescent="0.2">
      <c r="A54">
        <v>47</v>
      </c>
      <c r="B54" vm="382">
        <v>45627</v>
      </c>
      <c r="C54" s="26">
        <f ca="1">'1.a Compute rate of return'!D53</f>
        <v>-7.0268768113064504E-3</v>
      </c>
      <c r="D54" s="7">
        <f ca="1">'1.a Compute rate of return'!H53</f>
        <v>-3.0303030303030332E-2</v>
      </c>
      <c r="E54" s="7">
        <f ca="1">'1.a Compute rate of return'!L53</f>
        <v>-3.042853034224902E-2</v>
      </c>
      <c r="F54" s="7">
        <f ca="1">'1.a Compute rate of return'!P53</f>
        <v>0.10638297872340435</v>
      </c>
      <c r="G54" s="7">
        <f ca="1">'1.a Compute rate of return'!T53</f>
        <v>1.7766497461928894E-2</v>
      </c>
      <c r="H54" s="7">
        <f ca="1">'1.a Compute rate of return'!X53</f>
        <v>-2.2222222222221749E-3</v>
      </c>
      <c r="I54" s="7">
        <f ca="1">'1.a Compute rate of return'!AB53</f>
        <v>-3.3610795812839024E-2</v>
      </c>
      <c r="J54" s="7">
        <f ca="1">'1.a Compute rate of return'!AF53</f>
        <v>-3.5025548465820996E-2</v>
      </c>
    </row>
    <row r="55" spans="1:10" x14ac:dyDescent="0.2">
      <c r="A55">
        <v>48</v>
      </c>
      <c r="B55" vm="390">
        <v>45658</v>
      </c>
      <c r="C55" s="26">
        <f ca="1">'1.a Compute rate of return'!D54</f>
        <v>0.11306572845034372</v>
      </c>
      <c r="D55" s="7">
        <f ca="1">'1.a Compute rate of return'!H54</f>
        <v>0.1354166666666668</v>
      </c>
      <c r="E55" s="7">
        <f ca="1">'1.a Compute rate of return'!L54</f>
        <v>8.7268628381585236E-2</v>
      </c>
      <c r="F55" s="7">
        <f ca="1">'1.a Compute rate of return'!P54</f>
        <v>-9.6153846153846242E-2</v>
      </c>
      <c r="G55" s="7">
        <f ca="1">'1.a Compute rate of return'!T54</f>
        <v>-1.4962593516209379E-2</v>
      </c>
      <c r="H55" s="7">
        <f ca="1">'1.a Compute rate of return'!X54</f>
        <v>-2.0044543429844065E-2</v>
      </c>
      <c r="I55" s="7">
        <f ca="1">'1.a Compute rate of return'!AB54</f>
        <v>4.7699836867862985E-2</v>
      </c>
      <c r="J55" s="7">
        <f ca="1">'1.a Compute rate of return'!AF54</f>
        <v>9.4685873253387856E-2</v>
      </c>
    </row>
    <row r="56" spans="1:10" ht="26.25" customHeight="1" x14ac:dyDescent="0.2">
      <c r="B56" s="25" t="s">
        <v>33</v>
      </c>
      <c r="C56" s="27">
        <f t="shared" ref="C56:J56" ca="1" si="0">AVERAGE(C8:C55)</f>
        <v>4.5530185933715182E-2</v>
      </c>
      <c r="D56" s="28">
        <f t="shared" ca="1" si="0"/>
        <v>2.5564443106785531E-2</v>
      </c>
      <c r="E56" s="27">
        <f t="shared" ca="1" si="0"/>
        <v>1.1564818027837785E-2</v>
      </c>
      <c r="F56" s="28">
        <f t="shared" ca="1" si="0"/>
        <v>1.0884127194878032E-2</v>
      </c>
      <c r="G56" s="27">
        <f t="shared" ca="1" si="0"/>
        <v>5.5431375324955538E-3</v>
      </c>
      <c r="H56" s="28">
        <f t="shared" ca="1" si="0"/>
        <v>-8.2112646701124111E-3</v>
      </c>
      <c r="I56" s="27">
        <f t="shared" ca="1" si="0"/>
        <v>1.563254330015652E-2</v>
      </c>
      <c r="J56" s="28">
        <f t="shared" ca="1" si="0"/>
        <v>1.6484698843539539E-2</v>
      </c>
    </row>
    <row r="57" spans="1:10" ht="25.25" customHeight="1" thickBot="1" x14ac:dyDescent="0.25">
      <c r="B57" s="2" t="s">
        <v>22</v>
      </c>
      <c r="C57" s="29">
        <f t="shared" ref="C57:J57" ca="1" si="1">_xlfn.STDEV.S(C8:C55)</f>
        <v>0.10936385592244387</v>
      </c>
      <c r="D57" s="30">
        <f t="shared" ca="1" si="1"/>
        <v>0.13553167397727031</v>
      </c>
      <c r="E57" s="29">
        <f t="shared" ca="1" si="1"/>
        <v>9.4151228850625754E-2</v>
      </c>
      <c r="F57" s="30">
        <f t="shared" ca="1" si="1"/>
        <v>8.0188898431855518E-2</v>
      </c>
      <c r="G57" s="29">
        <f t="shared" ca="1" si="1"/>
        <v>3.5698466399920525E-2</v>
      </c>
      <c r="H57" s="30">
        <f t="shared" ca="1" si="1"/>
        <v>7.254003966278906E-2</v>
      </c>
      <c r="I57" s="29">
        <f t="shared" ca="1" si="1"/>
        <v>6.2967475865032346E-2</v>
      </c>
      <c r="J57" s="30">
        <f t="shared" ca="1" si="1"/>
        <v>4.8592930823745273E-2</v>
      </c>
    </row>
    <row r="58" spans="1:10" x14ac:dyDescent="0.2">
      <c r="C58" s="1" t="s">
        <v>8</v>
      </c>
      <c r="D58" s="1" t="s">
        <v>8</v>
      </c>
      <c r="E58" s="1" t="s">
        <v>7</v>
      </c>
      <c r="F58" s="2" t="s">
        <v>7</v>
      </c>
      <c r="G58" s="2" t="s">
        <v>5</v>
      </c>
      <c r="H58" s="2" t="s">
        <v>5</v>
      </c>
      <c r="I58" s="2" t="s">
        <v>6</v>
      </c>
      <c r="J58" s="2" t="s">
        <v>6</v>
      </c>
    </row>
    <row r="59" spans="1:10" x14ac:dyDescent="0.2">
      <c r="C59" s="105" t="s">
        <v>81</v>
      </c>
      <c r="D59" s="105" t="s">
        <v>81</v>
      </c>
      <c r="E59" s="103" t="s">
        <v>80</v>
      </c>
      <c r="F59" s="103" t="s">
        <v>80</v>
      </c>
      <c r="G59" s="104" t="s">
        <v>79</v>
      </c>
      <c r="H59" s="103" t="s">
        <v>80</v>
      </c>
      <c r="I59" s="104" t="s">
        <v>79</v>
      </c>
      <c r="J59" s="104" t="s">
        <v>79</v>
      </c>
    </row>
    <row r="61" spans="1:10" x14ac:dyDescent="0.2">
      <c r="C61" s="11" t="s">
        <v>23</v>
      </c>
      <c r="D61" s="11" t="s">
        <v>24</v>
      </c>
      <c r="E61" s="2"/>
    </row>
    <row r="62" spans="1:10" x14ac:dyDescent="0.2">
      <c r="C62" s="110">
        <v>0</v>
      </c>
      <c r="D62" s="12">
        <v>6.3E-2</v>
      </c>
      <c r="E62" s="1" t="s">
        <v>14</v>
      </c>
      <c r="F62" s="1" t="s">
        <v>11</v>
      </c>
    </row>
    <row r="63" spans="1:10" x14ac:dyDescent="0.2">
      <c r="C63" s="12">
        <v>6.3100000000000003E-2</v>
      </c>
      <c r="D63" s="12">
        <v>8.0199999999999994E-2</v>
      </c>
      <c r="E63" s="1" t="s">
        <v>14</v>
      </c>
      <c r="F63" s="1" t="s">
        <v>12</v>
      </c>
    </row>
    <row r="64" spans="1:10" x14ac:dyDescent="0.2">
      <c r="C64" s="109">
        <v>8.0299999999999996E-2</v>
      </c>
      <c r="D64" s="12">
        <v>0.13550000000000001</v>
      </c>
      <c r="E64" s="1" t="s">
        <v>14</v>
      </c>
      <c r="F64" s="1" t="s">
        <v>13</v>
      </c>
    </row>
    <row r="65" spans="3:6" x14ac:dyDescent="0.2">
      <c r="C65" s="2"/>
      <c r="D65" s="2"/>
      <c r="E65" s="2"/>
      <c r="F65" s="1"/>
    </row>
  </sheetData>
  <mergeCells count="13">
    <mergeCell ref="S17:T17"/>
    <mergeCell ref="U17:V17"/>
    <mergeCell ref="W17:X17"/>
    <mergeCell ref="B3:B4"/>
    <mergeCell ref="R12:R13"/>
    <mergeCell ref="S12:S13"/>
    <mergeCell ref="R6:R7"/>
    <mergeCell ref="S6:S7"/>
    <mergeCell ref="R8:R9"/>
    <mergeCell ref="S8:S9"/>
    <mergeCell ref="R10:R11"/>
    <mergeCell ref="S10:S11"/>
    <mergeCell ref="Q17:R17"/>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55579-38DA-C344-A271-BD26118D3878}">
  <sheetPr>
    <tabColor theme="9" tint="-0.499984740745262"/>
  </sheetPr>
  <dimension ref="A1:L54"/>
  <sheetViews>
    <sheetView topLeftCell="A45" workbookViewId="0">
      <selection activeCell="I48" sqref="I48"/>
    </sheetView>
  </sheetViews>
  <sheetFormatPr baseColWidth="10" defaultColWidth="10.83203125" defaultRowHeight="15" x14ac:dyDescent="0.2"/>
  <cols>
    <col min="1" max="1" width="22.6640625" customWidth="1"/>
    <col min="2" max="2" width="34.5" customWidth="1"/>
    <col min="6" max="6" width="10.83203125" customWidth="1"/>
    <col min="15" max="15" width="18.33203125" customWidth="1"/>
  </cols>
  <sheetData>
    <row r="1" spans="1:10" ht="21" x14ac:dyDescent="0.25">
      <c r="A1" s="124" t="s">
        <v>88</v>
      </c>
      <c r="C1" s="112"/>
      <c r="D1" s="112"/>
      <c r="E1" s="112"/>
      <c r="F1" s="112"/>
      <c r="G1" s="112"/>
      <c r="H1" s="112"/>
      <c r="I1" s="112"/>
      <c r="J1" s="112"/>
    </row>
    <row r="2" spans="1:10" ht="16" thickBot="1" x14ac:dyDescent="0.25">
      <c r="A2" s="112"/>
      <c r="B2" s="112"/>
      <c r="C2" s="112"/>
      <c r="D2" s="112"/>
      <c r="E2" s="112"/>
      <c r="F2" s="112"/>
      <c r="G2" s="112"/>
      <c r="H2" s="112"/>
      <c r="I2" s="112"/>
      <c r="J2" s="112"/>
    </row>
    <row r="3" spans="1:10" ht="16" thickBot="1" x14ac:dyDescent="0.25">
      <c r="A3" s="113" t="s">
        <v>82</v>
      </c>
      <c r="C3" s="196" t="s">
        <v>9</v>
      </c>
      <c r="D3" s="197"/>
      <c r="E3" s="196" t="s">
        <v>10</v>
      </c>
      <c r="F3" s="183"/>
      <c r="G3" s="199" t="s">
        <v>104</v>
      </c>
      <c r="H3" s="183"/>
      <c r="I3" s="196" t="s">
        <v>105</v>
      </c>
      <c r="J3" s="183"/>
    </row>
    <row r="4" spans="1:10" ht="16" x14ac:dyDescent="0.2">
      <c r="A4" s="112"/>
      <c r="B4" s="192"/>
      <c r="C4" s="194" t="s">
        <v>60</v>
      </c>
      <c r="D4" s="195" t="s">
        <v>168</v>
      </c>
      <c r="E4" s="194" t="s">
        <v>64</v>
      </c>
      <c r="F4" s="198" t="s">
        <v>197</v>
      </c>
      <c r="G4" s="200" t="s">
        <v>62</v>
      </c>
      <c r="H4" s="195" t="s">
        <v>171</v>
      </c>
      <c r="I4" s="200" t="s">
        <v>63</v>
      </c>
      <c r="J4" s="201" t="s">
        <v>174</v>
      </c>
    </row>
    <row r="5" spans="1:10" x14ac:dyDescent="0.2">
      <c r="A5" s="112"/>
      <c r="B5" s="193" t="s">
        <v>83</v>
      </c>
      <c r="C5" s="184" t="s">
        <v>103</v>
      </c>
      <c r="D5" s="185" t="s">
        <v>36</v>
      </c>
      <c r="E5" s="184" t="s">
        <v>37</v>
      </c>
      <c r="F5" s="185" t="s">
        <v>38</v>
      </c>
      <c r="G5" s="184" t="s">
        <v>39</v>
      </c>
      <c r="H5" s="185" t="s">
        <v>40</v>
      </c>
      <c r="I5" s="184" t="s">
        <v>41</v>
      </c>
      <c r="J5" s="185" t="s">
        <v>42</v>
      </c>
    </row>
    <row r="6" spans="1:10" ht="16" thickBot="1" x14ac:dyDescent="0.25">
      <c r="A6" s="112"/>
      <c r="B6" s="193" t="s">
        <v>84</v>
      </c>
      <c r="C6" s="186">
        <v>4.5530185933715182E-2</v>
      </c>
      <c r="D6" s="187">
        <v>2.5564443106785531E-2</v>
      </c>
      <c r="E6" s="186">
        <v>1.1564818027837785E-2</v>
      </c>
      <c r="F6" s="187">
        <v>1.0884127194878032E-2</v>
      </c>
      <c r="G6" s="186">
        <v>5.5431375324955538E-3</v>
      </c>
      <c r="H6" s="187">
        <v>-8.2112646701124111E-3</v>
      </c>
      <c r="I6" s="186">
        <v>1.563254330015652E-2</v>
      </c>
      <c r="J6" s="187">
        <v>1.6484698843539539E-2</v>
      </c>
    </row>
    <row r="7" spans="1:10" ht="16" x14ac:dyDescent="0.2">
      <c r="A7" s="112"/>
      <c r="B7" s="112"/>
      <c r="C7" s="112"/>
      <c r="D7" s="112"/>
      <c r="E7" s="112"/>
      <c r="F7" s="114"/>
      <c r="G7" s="114"/>
      <c r="H7" s="114"/>
      <c r="I7" s="114"/>
      <c r="J7" s="114"/>
    </row>
    <row r="8" spans="1:10" ht="17" thickBot="1" x14ac:dyDescent="0.25">
      <c r="A8" s="3" t="s">
        <v>16</v>
      </c>
      <c r="B8" s="112"/>
      <c r="C8" s="112"/>
      <c r="D8" s="112"/>
      <c r="E8" s="112"/>
      <c r="F8" s="114"/>
      <c r="G8" s="114"/>
      <c r="H8" s="114"/>
      <c r="I8" s="114"/>
      <c r="J8" s="114"/>
    </row>
    <row r="9" spans="1:10" ht="12" customHeight="1" x14ac:dyDescent="0.2">
      <c r="B9" s="217" t="s">
        <v>209</v>
      </c>
      <c r="C9" s="220" t="s">
        <v>81</v>
      </c>
      <c r="D9" s="220" t="s">
        <v>81</v>
      </c>
      <c r="E9" s="221" t="s">
        <v>80</v>
      </c>
      <c r="F9" s="221" t="s">
        <v>80</v>
      </c>
      <c r="G9" s="222" t="s">
        <v>79</v>
      </c>
      <c r="H9" s="221" t="s">
        <v>80</v>
      </c>
      <c r="I9" s="222" t="s">
        <v>79</v>
      </c>
      <c r="J9" s="223" t="s">
        <v>79</v>
      </c>
    </row>
    <row r="10" spans="1:10" ht="16" x14ac:dyDescent="0.2">
      <c r="A10" s="112"/>
      <c r="B10" s="218" t="s">
        <v>83</v>
      </c>
      <c r="C10" s="65" t="s">
        <v>60</v>
      </c>
      <c r="D10" s="66" t="s">
        <v>168</v>
      </c>
      <c r="E10" s="65" t="s">
        <v>64</v>
      </c>
      <c r="F10" s="67" t="s">
        <v>197</v>
      </c>
      <c r="G10" s="68" t="s">
        <v>62</v>
      </c>
      <c r="H10" s="66" t="s">
        <v>171</v>
      </c>
      <c r="I10" s="68" t="s">
        <v>63</v>
      </c>
      <c r="J10" s="95" t="s">
        <v>174</v>
      </c>
    </row>
    <row r="11" spans="1:10" ht="17" thickBot="1" x14ac:dyDescent="0.25">
      <c r="A11" s="112"/>
      <c r="B11" s="219" t="s">
        <v>85</v>
      </c>
      <c r="C11" s="153">
        <v>0.1</v>
      </c>
      <c r="D11" s="133">
        <v>4.9999999999999989E-2</v>
      </c>
      <c r="E11" s="133">
        <v>0.10000000000000003</v>
      </c>
      <c r="F11" s="133">
        <v>4.9999999999999989E-2</v>
      </c>
      <c r="G11" s="133">
        <v>0.10000000000000003</v>
      </c>
      <c r="H11" s="133">
        <v>4.9999999999999989E-2</v>
      </c>
      <c r="I11" s="133">
        <v>5.0000000000000044E-2</v>
      </c>
      <c r="J11" s="154">
        <v>0.5</v>
      </c>
    </row>
    <row r="12" spans="1:10" x14ac:dyDescent="0.2">
      <c r="A12" s="112"/>
      <c r="B12" s="112"/>
      <c r="C12" s="112"/>
      <c r="D12" s="112"/>
      <c r="E12" s="112"/>
      <c r="F12" s="112"/>
      <c r="G12" s="112"/>
      <c r="H12" s="112"/>
      <c r="I12" s="112"/>
      <c r="J12" s="112"/>
    </row>
    <row r="13" spans="1:10" x14ac:dyDescent="0.2">
      <c r="A13" s="112"/>
      <c r="B13" s="112"/>
      <c r="C13" s="112"/>
      <c r="D13" s="112"/>
      <c r="E13" s="112"/>
      <c r="F13" s="112"/>
      <c r="G13" s="112"/>
      <c r="H13" s="112"/>
      <c r="I13" s="112"/>
      <c r="J13" s="112"/>
    </row>
    <row r="14" spans="1:10" x14ac:dyDescent="0.2">
      <c r="A14" s="3" t="s">
        <v>17</v>
      </c>
      <c r="B14" s="112"/>
      <c r="C14" s="112"/>
      <c r="D14" s="112"/>
      <c r="E14" s="112"/>
      <c r="F14" s="112"/>
      <c r="G14" s="112"/>
      <c r="H14" s="112"/>
      <c r="I14" s="112"/>
      <c r="J14" s="112"/>
    </row>
    <row r="15" spans="1:10" x14ac:dyDescent="0.2">
      <c r="A15" s="112"/>
      <c r="B15" s="112"/>
      <c r="C15" s="112"/>
      <c r="D15" s="112"/>
      <c r="E15" s="112"/>
      <c r="F15" s="112"/>
      <c r="G15" s="112"/>
      <c r="H15" s="112"/>
      <c r="I15" s="112"/>
      <c r="J15" s="112"/>
    </row>
    <row r="16" spans="1:10" x14ac:dyDescent="0.2">
      <c r="A16" s="112"/>
      <c r="B16" s="118" t="s">
        <v>179</v>
      </c>
      <c r="C16" s="119">
        <f>SUMPRODUCT(C6:J6,C11:J11)</f>
        <v>1.6699656017760009E-2</v>
      </c>
      <c r="D16" s="112"/>
      <c r="E16" s="112"/>
      <c r="F16" s="112"/>
      <c r="G16" s="112"/>
      <c r="H16" s="112"/>
      <c r="I16" s="112"/>
      <c r="J16" s="112"/>
    </row>
    <row r="17" spans="1:12" x14ac:dyDescent="0.2">
      <c r="C17" s="112"/>
      <c r="D17" s="112"/>
      <c r="E17" s="112"/>
      <c r="F17" s="112"/>
      <c r="G17" s="112"/>
      <c r="H17" s="112"/>
      <c r="I17" s="112"/>
      <c r="J17" s="112"/>
      <c r="K17" s="112"/>
      <c r="L17" s="112"/>
    </row>
    <row r="18" spans="1:12" ht="16" x14ac:dyDescent="0.2">
      <c r="A18" s="176" t="s">
        <v>161</v>
      </c>
      <c r="D18" s="112"/>
      <c r="E18" s="112"/>
      <c r="F18" s="112"/>
      <c r="G18" s="112"/>
      <c r="H18" s="112"/>
      <c r="I18" s="112"/>
      <c r="J18" s="112"/>
    </row>
    <row r="19" spans="1:12" x14ac:dyDescent="0.2">
      <c r="C19" s="116" t="s">
        <v>178</v>
      </c>
      <c r="D19" s="116"/>
      <c r="E19" s="116" t="s">
        <v>86</v>
      </c>
      <c r="F19" s="112"/>
      <c r="G19" s="112"/>
      <c r="H19" s="112"/>
      <c r="I19" s="112"/>
      <c r="J19" s="112"/>
    </row>
    <row r="20" spans="1:12" x14ac:dyDescent="0.2">
      <c r="A20" s="3" t="s">
        <v>89</v>
      </c>
      <c r="C20" s="121">
        <f>SUM(C11+D11)</f>
        <v>0.15</v>
      </c>
      <c r="D20" s="120" t="s">
        <v>14</v>
      </c>
      <c r="E20" s="121">
        <v>0.15</v>
      </c>
      <c r="F20" s="112"/>
      <c r="G20" s="112"/>
      <c r="H20" s="174"/>
    </row>
    <row r="21" spans="1:12" x14ac:dyDescent="0.2">
      <c r="A21" s="3"/>
      <c r="C21" s="179"/>
      <c r="D21" s="120"/>
      <c r="E21" s="179"/>
      <c r="F21" s="112"/>
      <c r="G21" s="112"/>
      <c r="H21" s="174"/>
    </row>
    <row r="22" spans="1:12" x14ac:dyDescent="0.2">
      <c r="A22" s="3" t="s">
        <v>90</v>
      </c>
      <c r="C22" s="122">
        <f>SUM(G11,I11,J11)</f>
        <v>0.65000000000000013</v>
      </c>
      <c r="D22" s="131" t="s">
        <v>91</v>
      </c>
      <c r="E22" s="121">
        <f>SUM(E11,F11,H11)</f>
        <v>0.2</v>
      </c>
      <c r="F22" s="112"/>
      <c r="G22" s="112"/>
      <c r="H22" s="174"/>
    </row>
    <row r="23" spans="1:12" x14ac:dyDescent="0.2">
      <c r="A23" s="3"/>
      <c r="C23" s="179"/>
      <c r="D23" s="120"/>
      <c r="E23" s="179"/>
      <c r="F23" s="112"/>
      <c r="G23" s="112"/>
      <c r="H23" s="174"/>
    </row>
    <row r="24" spans="1:12" x14ac:dyDescent="0.2">
      <c r="A24" s="3" t="s">
        <v>200</v>
      </c>
      <c r="C24" s="129">
        <f>SUM(G11,I11,J11)</f>
        <v>0.65000000000000013</v>
      </c>
      <c r="D24" s="132" t="s">
        <v>91</v>
      </c>
      <c r="E24" s="129">
        <f>SUM(C11,D11)</f>
        <v>0.15</v>
      </c>
      <c r="F24" s="112"/>
      <c r="G24" s="112"/>
      <c r="H24" s="3"/>
    </row>
    <row r="25" spans="1:12" x14ac:dyDescent="0.2">
      <c r="A25" s="3"/>
      <c r="C25" s="177"/>
      <c r="D25" s="178"/>
      <c r="E25" s="177"/>
      <c r="F25" s="112"/>
      <c r="G25" s="112"/>
      <c r="H25" s="3"/>
    </row>
    <row r="26" spans="1:12" x14ac:dyDescent="0.2">
      <c r="A26" s="3" t="s">
        <v>92</v>
      </c>
      <c r="C26" s="122">
        <f>SUM(C11,D11)</f>
        <v>0.15</v>
      </c>
      <c r="D26" s="123" t="s">
        <v>91</v>
      </c>
      <c r="E26" s="121">
        <v>0.15</v>
      </c>
      <c r="F26" s="112"/>
      <c r="G26" s="112"/>
      <c r="K26" s="112"/>
      <c r="L26" s="3"/>
    </row>
    <row r="27" spans="1:12" x14ac:dyDescent="0.2">
      <c r="C27" s="115"/>
      <c r="D27" s="112"/>
      <c r="E27" s="126"/>
      <c r="F27" s="112"/>
      <c r="G27" s="112"/>
    </row>
    <row r="28" spans="1:12" x14ac:dyDescent="0.2">
      <c r="A28" s="3" t="s">
        <v>93</v>
      </c>
      <c r="C28" s="129">
        <f>SUM(E11,F11)</f>
        <v>0.15000000000000002</v>
      </c>
      <c r="D28" s="123" t="s">
        <v>91</v>
      </c>
      <c r="E28" s="129">
        <v>0.15</v>
      </c>
      <c r="F28" s="112"/>
      <c r="G28" s="112"/>
      <c r="K28" s="175"/>
      <c r="L28" s="106"/>
    </row>
    <row r="29" spans="1:12" x14ac:dyDescent="0.2">
      <c r="C29" s="115"/>
      <c r="D29" s="112"/>
      <c r="E29" s="126"/>
      <c r="F29" s="112"/>
      <c r="G29" s="112"/>
      <c r="H29" s="112"/>
    </row>
    <row r="30" spans="1:12" x14ac:dyDescent="0.2">
      <c r="A30" s="3" t="s">
        <v>94</v>
      </c>
      <c r="C30" s="129">
        <f>SUM(G11,H11)</f>
        <v>0.15000000000000002</v>
      </c>
      <c r="D30" s="123" t="s">
        <v>91</v>
      </c>
      <c r="E30" s="129">
        <v>0.15</v>
      </c>
      <c r="G30" s="112"/>
      <c r="H30" s="134"/>
      <c r="J30" s="135"/>
    </row>
    <row r="31" spans="1:12" x14ac:dyDescent="0.2">
      <c r="C31" s="128"/>
      <c r="E31" s="127"/>
    </row>
    <row r="32" spans="1:12" x14ac:dyDescent="0.2">
      <c r="A32" s="3" t="s">
        <v>207</v>
      </c>
      <c r="C32" s="129">
        <f>SUM(I11,J11)</f>
        <v>0.55000000000000004</v>
      </c>
      <c r="D32" s="123" t="s">
        <v>91</v>
      </c>
      <c r="E32" s="129">
        <v>0.2</v>
      </c>
    </row>
    <row r="33" spans="1:5" x14ac:dyDescent="0.2">
      <c r="C33" s="128"/>
      <c r="E33" s="127"/>
    </row>
    <row r="34" spans="1:5" x14ac:dyDescent="0.2">
      <c r="A34" s="3" t="s">
        <v>95</v>
      </c>
      <c r="C34" s="129">
        <f>C11</f>
        <v>0.1</v>
      </c>
      <c r="D34" s="123" t="s">
        <v>91</v>
      </c>
      <c r="E34" s="129">
        <v>0.05</v>
      </c>
    </row>
    <row r="35" spans="1:5" x14ac:dyDescent="0.2">
      <c r="C35" s="128"/>
      <c r="E35" s="127"/>
    </row>
    <row r="36" spans="1:5" x14ac:dyDescent="0.2">
      <c r="A36" s="3" t="s">
        <v>96</v>
      </c>
      <c r="C36" s="129">
        <f>D11</f>
        <v>4.9999999999999989E-2</v>
      </c>
      <c r="D36" s="123" t="s">
        <v>91</v>
      </c>
      <c r="E36" s="129">
        <v>0.05</v>
      </c>
    </row>
    <row r="37" spans="1:5" x14ac:dyDescent="0.2">
      <c r="C37" s="128"/>
      <c r="E37" s="127"/>
    </row>
    <row r="38" spans="1:5" x14ac:dyDescent="0.2">
      <c r="A38" s="3" t="s">
        <v>97</v>
      </c>
      <c r="C38" s="129">
        <f>E11</f>
        <v>0.10000000000000003</v>
      </c>
      <c r="D38" s="123" t="s">
        <v>91</v>
      </c>
      <c r="E38" s="129">
        <v>0.05</v>
      </c>
    </row>
    <row r="39" spans="1:5" x14ac:dyDescent="0.2">
      <c r="C39" s="128"/>
      <c r="E39" s="127"/>
    </row>
    <row r="40" spans="1:5" x14ac:dyDescent="0.2">
      <c r="A40" s="3" t="s">
        <v>98</v>
      </c>
      <c r="C40" s="129">
        <f>F11</f>
        <v>4.9999999999999989E-2</v>
      </c>
      <c r="D40" s="123" t="s">
        <v>91</v>
      </c>
      <c r="E40" s="129">
        <v>0.05</v>
      </c>
    </row>
    <row r="41" spans="1:5" x14ac:dyDescent="0.2">
      <c r="C41" s="128"/>
      <c r="E41" s="127"/>
    </row>
    <row r="42" spans="1:5" x14ac:dyDescent="0.2">
      <c r="A42" s="3" t="s">
        <v>99</v>
      </c>
      <c r="C42" s="129">
        <f>G11</f>
        <v>0.10000000000000003</v>
      </c>
      <c r="D42" s="123" t="s">
        <v>91</v>
      </c>
      <c r="E42" s="129">
        <v>0.05</v>
      </c>
    </row>
    <row r="43" spans="1:5" x14ac:dyDescent="0.2">
      <c r="C43" s="128"/>
      <c r="E43" s="127"/>
    </row>
    <row r="44" spans="1:5" x14ac:dyDescent="0.2">
      <c r="A44" s="3" t="s">
        <v>100</v>
      </c>
      <c r="C44" s="129">
        <f>H11</f>
        <v>4.9999999999999989E-2</v>
      </c>
      <c r="D44" s="123" t="s">
        <v>91</v>
      </c>
      <c r="E44" s="129">
        <v>0.05</v>
      </c>
    </row>
    <row r="45" spans="1:5" x14ac:dyDescent="0.2">
      <c r="C45" s="128"/>
      <c r="E45" s="127"/>
    </row>
    <row r="46" spans="1:5" x14ac:dyDescent="0.2">
      <c r="A46" s="3" t="s">
        <v>101</v>
      </c>
      <c r="C46" s="129">
        <f>I11</f>
        <v>5.0000000000000044E-2</v>
      </c>
      <c r="D46" s="123" t="s">
        <v>91</v>
      </c>
      <c r="E46" s="129">
        <v>0.05</v>
      </c>
    </row>
    <row r="47" spans="1:5" x14ac:dyDescent="0.2">
      <c r="C47" s="128"/>
      <c r="E47" s="127"/>
    </row>
    <row r="48" spans="1:5" x14ac:dyDescent="0.2">
      <c r="A48" s="3" t="s">
        <v>102</v>
      </c>
      <c r="C48" s="129">
        <f>J11</f>
        <v>0.5</v>
      </c>
      <c r="D48" s="123" t="s">
        <v>91</v>
      </c>
      <c r="E48" s="129">
        <v>0.05</v>
      </c>
    </row>
    <row r="49" spans="1:5" x14ac:dyDescent="0.2">
      <c r="C49" s="128"/>
      <c r="E49" s="127"/>
    </row>
    <row r="50" spans="1:5" x14ac:dyDescent="0.2">
      <c r="A50" s="3" t="s">
        <v>106</v>
      </c>
      <c r="C50" s="121">
        <f>SUM(C11:J11)</f>
        <v>1</v>
      </c>
      <c r="D50" s="2" t="s">
        <v>87</v>
      </c>
      <c r="E50" s="130">
        <v>1</v>
      </c>
    </row>
    <row r="52" spans="1:5" x14ac:dyDescent="0.2">
      <c r="A52" s="3" t="s">
        <v>210</v>
      </c>
      <c r="C52" s="121">
        <f>SUM(C11:J11)</f>
        <v>1</v>
      </c>
      <c r="D52" s="2" t="s">
        <v>91</v>
      </c>
      <c r="E52" s="130">
        <v>0</v>
      </c>
    </row>
    <row r="53" spans="1:5" x14ac:dyDescent="0.2">
      <c r="C53" s="112"/>
    </row>
    <row r="54" spans="1:5" x14ac:dyDescent="0.2">
      <c r="C54" s="135"/>
      <c r="E54" s="128"/>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F2471-F8BB-0644-A642-EF991171F57D}">
  <dimension ref="A1:H37"/>
  <sheetViews>
    <sheetView showGridLines="0" zoomScale="94" workbookViewId="0">
      <selection activeCell="K26" sqref="K26"/>
    </sheetView>
  </sheetViews>
  <sheetFormatPr baseColWidth="10" defaultRowHeight="15" x14ac:dyDescent="0.2"/>
  <cols>
    <col min="1" max="1" width="2.33203125" customWidth="1"/>
    <col min="2" max="2" width="6.33203125" bestFit="1" customWidth="1"/>
    <col min="3" max="3" width="59" bestFit="1" customWidth="1"/>
    <col min="4" max="4" width="5.6640625" bestFit="1" customWidth="1"/>
    <col min="5" max="6" width="12.6640625" bestFit="1" customWidth="1"/>
    <col min="7" max="8" width="12.1640625" bestFit="1" customWidth="1"/>
  </cols>
  <sheetData>
    <row r="1" spans="1:8" x14ac:dyDescent="0.2">
      <c r="A1" s="3" t="s">
        <v>107</v>
      </c>
    </row>
    <row r="2" spans="1:8" x14ac:dyDescent="0.2">
      <c r="A2" s="3" t="s">
        <v>211</v>
      </c>
    </row>
    <row r="3" spans="1:8" x14ac:dyDescent="0.2">
      <c r="A3" s="3" t="s">
        <v>252</v>
      </c>
    </row>
    <row r="6" spans="1:8" ht="16" thickBot="1" x14ac:dyDescent="0.25">
      <c r="A6" t="s">
        <v>108</v>
      </c>
    </row>
    <row r="7" spans="1:8" x14ac:dyDescent="0.2">
      <c r="B7" s="226"/>
      <c r="C7" s="226"/>
      <c r="D7" s="226" t="s">
        <v>111</v>
      </c>
      <c r="E7" s="226" t="s">
        <v>113</v>
      </c>
      <c r="F7" s="226" t="s">
        <v>115</v>
      </c>
      <c r="G7" s="226" t="s">
        <v>117</v>
      </c>
      <c r="H7" s="226" t="s">
        <v>117</v>
      </c>
    </row>
    <row r="8" spans="1:8" ht="16" thickBot="1" x14ac:dyDescent="0.25">
      <c r="B8" s="227" t="s">
        <v>109</v>
      </c>
      <c r="C8" s="227" t="s">
        <v>110</v>
      </c>
      <c r="D8" s="227" t="s">
        <v>112</v>
      </c>
      <c r="E8" s="227" t="s">
        <v>114</v>
      </c>
      <c r="F8" s="227" t="s">
        <v>116</v>
      </c>
      <c r="G8" s="227" t="s">
        <v>118</v>
      </c>
      <c r="H8" s="227" t="s">
        <v>119</v>
      </c>
    </row>
    <row r="9" spans="1:8" x14ac:dyDescent="0.2">
      <c r="B9" s="224" t="s">
        <v>180</v>
      </c>
      <c r="C9" s="224" t="s">
        <v>126</v>
      </c>
      <c r="D9" s="224">
        <v>0.1</v>
      </c>
      <c r="E9" s="224">
        <v>0</v>
      </c>
      <c r="F9" s="224">
        <v>4.5530185933715182E-2</v>
      </c>
      <c r="G9" s="224">
        <v>1E+30</v>
      </c>
      <c r="H9" s="224">
        <v>1.9965742826929665E-2</v>
      </c>
    </row>
    <row r="10" spans="1:8" x14ac:dyDescent="0.2">
      <c r="B10" s="224" t="s">
        <v>181</v>
      </c>
      <c r="C10" s="224" t="s">
        <v>202</v>
      </c>
      <c r="D10" s="224">
        <v>4.9999999999999989E-2</v>
      </c>
      <c r="E10" s="224">
        <v>0</v>
      </c>
      <c r="F10" s="224">
        <v>2.5564443106785524E-2</v>
      </c>
      <c r="G10" s="224">
        <v>1.9965742826929665E-2</v>
      </c>
      <c r="H10" s="224">
        <v>1E+30</v>
      </c>
    </row>
    <row r="11" spans="1:8" x14ac:dyDescent="0.2">
      <c r="B11" s="224" t="s">
        <v>140</v>
      </c>
      <c r="C11" s="224" t="s">
        <v>127</v>
      </c>
      <c r="D11" s="224">
        <v>0.10000000000000003</v>
      </c>
      <c r="E11" s="224">
        <v>0</v>
      </c>
      <c r="F11" s="224">
        <v>1.1564818027837792E-2</v>
      </c>
      <c r="G11" s="224">
        <v>4.9198808157017307E-3</v>
      </c>
      <c r="H11" s="224">
        <v>6.8069083295975441E-4</v>
      </c>
    </row>
    <row r="12" spans="1:8" x14ac:dyDescent="0.2">
      <c r="B12" s="224" t="s">
        <v>141</v>
      </c>
      <c r="C12" s="224" t="s">
        <v>203</v>
      </c>
      <c r="D12" s="224">
        <v>4.9999999999999989E-2</v>
      </c>
      <c r="E12" s="224">
        <v>0</v>
      </c>
      <c r="F12" s="224">
        <v>1.0884127194878038E-2</v>
      </c>
      <c r="G12" s="224">
        <v>6.8069083295975441E-4</v>
      </c>
      <c r="H12" s="224">
        <v>1E+30</v>
      </c>
    </row>
    <row r="13" spans="1:8" x14ac:dyDescent="0.2">
      <c r="B13" s="224" t="s">
        <v>142</v>
      </c>
      <c r="C13" s="224" t="s">
        <v>128</v>
      </c>
      <c r="D13" s="224">
        <v>0.10000000000000003</v>
      </c>
      <c r="E13" s="224">
        <v>0</v>
      </c>
      <c r="F13" s="224">
        <v>5.5431375324955512E-3</v>
      </c>
      <c r="G13" s="224">
        <v>1.0941561311043985E-2</v>
      </c>
      <c r="H13" s="224">
        <v>1.3754402202607943E-2</v>
      </c>
    </row>
    <row r="14" spans="1:8" x14ac:dyDescent="0.2">
      <c r="B14" s="224" t="s">
        <v>143</v>
      </c>
      <c r="C14" s="224" t="s">
        <v>204</v>
      </c>
      <c r="D14" s="224">
        <v>4.9999999999999989E-2</v>
      </c>
      <c r="E14" s="224">
        <v>0</v>
      </c>
      <c r="F14" s="224">
        <v>-8.2112646701124059E-3</v>
      </c>
      <c r="G14" s="224">
        <v>1.3754402202607943E-2</v>
      </c>
      <c r="H14" s="224">
        <v>1E+30</v>
      </c>
    </row>
    <row r="15" spans="1:8" x14ac:dyDescent="0.2">
      <c r="B15" s="224" t="s">
        <v>144</v>
      </c>
      <c r="C15" s="224" t="s">
        <v>129</v>
      </c>
      <c r="D15" s="224">
        <v>5.0000000000000044E-2</v>
      </c>
      <c r="E15" s="224">
        <v>0</v>
      </c>
      <c r="F15" s="224">
        <v>1.5632543300156523E-2</v>
      </c>
      <c r="G15" s="224">
        <v>8.5215554338301247E-4</v>
      </c>
      <c r="H15" s="224">
        <v>1E+30</v>
      </c>
    </row>
    <row r="16" spans="1:8" ht="16" thickBot="1" x14ac:dyDescent="0.25">
      <c r="B16" s="225" t="s">
        <v>145</v>
      </c>
      <c r="C16" s="225" t="s">
        <v>205</v>
      </c>
      <c r="D16" s="225">
        <v>0.5</v>
      </c>
      <c r="E16" s="225">
        <v>0</v>
      </c>
      <c r="F16" s="225">
        <v>1.6484698843539536E-2</v>
      </c>
      <c r="G16" s="225">
        <v>2.9045487090175647E-2</v>
      </c>
      <c r="H16" s="225">
        <v>8.5215554338301247E-4</v>
      </c>
    </row>
    <row r="18" spans="1:8" ht="16" thickBot="1" x14ac:dyDescent="0.25">
      <c r="A18" t="s">
        <v>120</v>
      </c>
    </row>
    <row r="19" spans="1:8" x14ac:dyDescent="0.2">
      <c r="B19" s="226"/>
      <c r="C19" s="226"/>
      <c r="D19" s="226" t="s">
        <v>111</v>
      </c>
      <c r="E19" s="226" t="s">
        <v>121</v>
      </c>
      <c r="F19" s="226" t="s">
        <v>123</v>
      </c>
      <c r="G19" s="226" t="s">
        <v>117</v>
      </c>
      <c r="H19" s="226" t="s">
        <v>117</v>
      </c>
    </row>
    <row r="20" spans="1:8" ht="16" thickBot="1" x14ac:dyDescent="0.25">
      <c r="B20" s="227" t="s">
        <v>109</v>
      </c>
      <c r="C20" s="227" t="s">
        <v>110</v>
      </c>
      <c r="D20" s="227" t="s">
        <v>112</v>
      </c>
      <c r="E20" s="227" t="s">
        <v>122</v>
      </c>
      <c r="F20" s="227" t="s">
        <v>124</v>
      </c>
      <c r="G20" s="227" t="s">
        <v>118</v>
      </c>
      <c r="H20" s="227" t="s">
        <v>119</v>
      </c>
    </row>
    <row r="21" spans="1:8" x14ac:dyDescent="0.2">
      <c r="B21" s="224" t="s">
        <v>125</v>
      </c>
      <c r="C21" s="224" t="s">
        <v>182</v>
      </c>
      <c r="D21" s="224">
        <v>0.15</v>
      </c>
      <c r="E21" s="224">
        <v>2.9045487090175653E-2</v>
      </c>
      <c r="F21" s="224">
        <v>0.15</v>
      </c>
      <c r="G21" s="224">
        <v>0.25000000000000006</v>
      </c>
      <c r="H21" s="224">
        <v>2.7755575615628969E-18</v>
      </c>
    </row>
    <row r="22" spans="1:8" x14ac:dyDescent="0.2">
      <c r="B22" s="224" t="s">
        <v>146</v>
      </c>
      <c r="C22" s="224" t="s">
        <v>183</v>
      </c>
      <c r="D22" s="224">
        <v>0.65000000000000013</v>
      </c>
      <c r="E22" s="224">
        <v>0</v>
      </c>
      <c r="F22" s="224">
        <v>0</v>
      </c>
      <c r="G22" s="224">
        <v>0.45000000000000007</v>
      </c>
      <c r="H22" s="224">
        <v>1E+30</v>
      </c>
    </row>
    <row r="23" spans="1:8" x14ac:dyDescent="0.2">
      <c r="B23" s="224" t="s">
        <v>147</v>
      </c>
      <c r="C23" s="224" t="s">
        <v>206</v>
      </c>
      <c r="D23" s="224">
        <v>0.65000000000000013</v>
      </c>
      <c r="E23" s="224">
        <v>0</v>
      </c>
      <c r="F23" s="224">
        <v>0</v>
      </c>
      <c r="G23" s="224">
        <v>0.50000000000000022</v>
      </c>
      <c r="H23" s="224">
        <v>1E+30</v>
      </c>
    </row>
    <row r="24" spans="1:8" x14ac:dyDescent="0.2">
      <c r="B24" s="224" t="s">
        <v>148</v>
      </c>
      <c r="C24" s="224" t="s">
        <v>184</v>
      </c>
      <c r="D24" s="224">
        <v>0.15</v>
      </c>
      <c r="E24" s="224">
        <v>0</v>
      </c>
      <c r="F24" s="224">
        <v>0.15</v>
      </c>
      <c r="G24" s="224">
        <v>2.7755575615628969E-18</v>
      </c>
      <c r="H24" s="224">
        <v>1E+30</v>
      </c>
    </row>
    <row r="25" spans="1:8" x14ac:dyDescent="0.2">
      <c r="B25" s="224" t="s">
        <v>149</v>
      </c>
      <c r="C25" s="224" t="s">
        <v>185</v>
      </c>
      <c r="D25" s="224">
        <v>0.15000000000000002</v>
      </c>
      <c r="E25" s="224">
        <v>-4.9198808157017299E-3</v>
      </c>
      <c r="F25" s="224">
        <v>0.15</v>
      </c>
      <c r="G25" s="224">
        <v>0.22500000000000003</v>
      </c>
      <c r="H25" s="224">
        <v>5.0000000000000044E-2</v>
      </c>
    </row>
    <row r="26" spans="1:8" x14ac:dyDescent="0.2">
      <c r="B26" s="224" t="s">
        <v>150</v>
      </c>
      <c r="C26" s="224" t="s">
        <v>186</v>
      </c>
      <c r="D26" s="224">
        <v>0.15000000000000002</v>
      </c>
      <c r="E26" s="224">
        <v>-1.0941561311043985E-2</v>
      </c>
      <c r="F26" s="224">
        <v>0.15</v>
      </c>
      <c r="G26" s="224">
        <v>0.35000000000000003</v>
      </c>
      <c r="H26" s="224">
        <v>5.0000000000000031E-2</v>
      </c>
    </row>
    <row r="27" spans="1:8" x14ac:dyDescent="0.2">
      <c r="B27" s="224" t="s">
        <v>151</v>
      </c>
      <c r="C27" s="224" t="s">
        <v>208</v>
      </c>
      <c r="D27" s="224">
        <v>0.55000000000000004</v>
      </c>
      <c r="E27" s="224">
        <v>0</v>
      </c>
      <c r="F27" s="224">
        <v>0.2</v>
      </c>
      <c r="G27" s="224">
        <v>0.35000000000000003</v>
      </c>
      <c r="H27" s="224">
        <v>1E+30</v>
      </c>
    </row>
    <row r="28" spans="1:8" x14ac:dyDescent="0.2">
      <c r="B28" s="224" t="s">
        <v>152</v>
      </c>
      <c r="C28" s="224" t="s">
        <v>187</v>
      </c>
      <c r="D28" s="224">
        <v>0.1</v>
      </c>
      <c r="E28" s="224">
        <v>0</v>
      </c>
      <c r="F28" s="224">
        <v>0.05</v>
      </c>
      <c r="G28" s="224">
        <v>0.05</v>
      </c>
      <c r="H28" s="224">
        <v>1E+30</v>
      </c>
    </row>
    <row r="29" spans="1:8" x14ac:dyDescent="0.2">
      <c r="B29" s="224" t="s">
        <v>153</v>
      </c>
      <c r="C29" s="224" t="s">
        <v>188</v>
      </c>
      <c r="D29" s="224">
        <v>4.9999999999999989E-2</v>
      </c>
      <c r="E29" s="224">
        <v>-1.9965742826929665E-2</v>
      </c>
      <c r="F29" s="224">
        <v>0.05</v>
      </c>
      <c r="G29" s="224">
        <v>0.05</v>
      </c>
      <c r="H29" s="224">
        <v>1E+30</v>
      </c>
    </row>
    <row r="30" spans="1:8" x14ac:dyDescent="0.2">
      <c r="B30" s="224" t="s">
        <v>154</v>
      </c>
      <c r="C30" s="224" t="s">
        <v>189</v>
      </c>
      <c r="D30" s="224">
        <v>0.10000000000000003</v>
      </c>
      <c r="E30" s="224">
        <v>0</v>
      </c>
      <c r="F30" s="224">
        <v>0.05</v>
      </c>
      <c r="G30" s="224">
        <v>5.0000000000000044E-2</v>
      </c>
      <c r="H30" s="224">
        <v>1E+30</v>
      </c>
    </row>
    <row r="31" spans="1:8" x14ac:dyDescent="0.2">
      <c r="B31" s="224" t="s">
        <v>155</v>
      </c>
      <c r="C31" s="224" t="s">
        <v>190</v>
      </c>
      <c r="D31" s="224">
        <v>4.9999999999999989E-2</v>
      </c>
      <c r="E31" s="224">
        <v>-6.8069083295975441E-4</v>
      </c>
      <c r="F31" s="224">
        <v>0.05</v>
      </c>
      <c r="G31" s="224">
        <v>5.0000000000000044E-2</v>
      </c>
      <c r="H31" s="224">
        <v>1E+30</v>
      </c>
    </row>
    <row r="32" spans="1:8" x14ac:dyDescent="0.2">
      <c r="B32" s="224" t="s">
        <v>156</v>
      </c>
      <c r="C32" s="224" t="s">
        <v>191</v>
      </c>
      <c r="D32" s="224">
        <v>0.10000000000000003</v>
      </c>
      <c r="E32" s="224">
        <v>0</v>
      </c>
      <c r="F32" s="224">
        <v>0.05</v>
      </c>
      <c r="G32" s="224">
        <v>5.0000000000000031E-2</v>
      </c>
      <c r="H32" s="224">
        <v>1E+30</v>
      </c>
    </row>
    <row r="33" spans="2:8" x14ac:dyDescent="0.2">
      <c r="B33" s="224" t="s">
        <v>157</v>
      </c>
      <c r="C33" s="224" t="s">
        <v>192</v>
      </c>
      <c r="D33" s="224">
        <v>4.9999999999999989E-2</v>
      </c>
      <c r="E33" s="224">
        <v>-1.3754402202607943E-2</v>
      </c>
      <c r="F33" s="224">
        <v>0.05</v>
      </c>
      <c r="G33" s="224">
        <v>5.0000000000000031E-2</v>
      </c>
      <c r="H33" s="224">
        <v>1E+30</v>
      </c>
    </row>
    <row r="34" spans="2:8" x14ac:dyDescent="0.2">
      <c r="B34" s="224" t="s">
        <v>158</v>
      </c>
      <c r="C34" s="224" t="s">
        <v>193</v>
      </c>
      <c r="D34" s="224">
        <v>5.0000000000000044E-2</v>
      </c>
      <c r="E34" s="224">
        <v>-8.5215554338301247E-4</v>
      </c>
      <c r="F34" s="224">
        <v>0.05</v>
      </c>
      <c r="G34" s="224">
        <v>0.45000000000000007</v>
      </c>
      <c r="H34" s="224">
        <v>1E+30</v>
      </c>
    </row>
    <row r="35" spans="2:8" x14ac:dyDescent="0.2">
      <c r="B35" s="224" t="s">
        <v>159</v>
      </c>
      <c r="C35" s="224" t="s">
        <v>194</v>
      </c>
      <c r="D35" s="224">
        <v>0.5</v>
      </c>
      <c r="E35" s="224">
        <v>0</v>
      </c>
      <c r="F35" s="224">
        <v>0.05</v>
      </c>
      <c r="G35" s="224">
        <v>0.45000000000000007</v>
      </c>
      <c r="H35" s="224">
        <v>1E+30</v>
      </c>
    </row>
    <row r="36" spans="2:8" x14ac:dyDescent="0.2">
      <c r="B36" s="224" t="s">
        <v>160</v>
      </c>
      <c r="C36" s="224" t="s">
        <v>195</v>
      </c>
      <c r="D36" s="224">
        <v>1</v>
      </c>
      <c r="E36" s="224">
        <v>1.6484698843539532E-2</v>
      </c>
      <c r="F36" s="224">
        <v>1</v>
      </c>
      <c r="G36" s="224">
        <v>1E+30</v>
      </c>
      <c r="H36" s="224">
        <v>0.35</v>
      </c>
    </row>
    <row r="37" spans="2:8" ht="16" thickBot="1" x14ac:dyDescent="0.25">
      <c r="B37" s="225" t="s">
        <v>212</v>
      </c>
      <c r="C37" s="225" t="s">
        <v>213</v>
      </c>
      <c r="D37" s="225">
        <v>1</v>
      </c>
      <c r="E37" s="225">
        <v>0</v>
      </c>
      <c r="F37" s="225">
        <v>0</v>
      </c>
      <c r="G37" s="225">
        <v>0.99999999999999989</v>
      </c>
      <c r="H37" s="225">
        <v>1E+30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C88DA-DC30-CE48-A6F8-B43BC498373C}">
  <dimension ref="A1:G49"/>
  <sheetViews>
    <sheetView showGridLines="0" zoomScale="75" workbookViewId="0">
      <selection activeCell="L29" sqref="L29"/>
    </sheetView>
  </sheetViews>
  <sheetFormatPr baseColWidth="10" defaultRowHeight="15" x14ac:dyDescent="0.2"/>
  <cols>
    <col min="1" max="1" width="2.33203125" customWidth="1"/>
    <col min="2" max="2" width="6.1640625" bestFit="1" customWidth="1"/>
    <col min="3" max="3" width="59" bestFit="1" customWidth="1"/>
    <col min="4" max="4" width="12" bestFit="1" customWidth="1"/>
    <col min="5" max="5" width="12.6640625" bestFit="1" customWidth="1"/>
    <col min="6" max="6" width="10.1640625" bestFit="1" customWidth="1"/>
    <col min="7" max="7" width="5.5" bestFit="1" customWidth="1"/>
  </cols>
  <sheetData>
    <row r="1" spans="1:5" x14ac:dyDescent="0.2">
      <c r="A1" s="3" t="s">
        <v>214</v>
      </c>
    </row>
    <row r="2" spans="1:5" x14ac:dyDescent="0.2">
      <c r="A2" s="3" t="s">
        <v>211</v>
      </c>
    </row>
    <row r="3" spans="1:5" x14ac:dyDescent="0.2">
      <c r="A3" s="3" t="s">
        <v>252</v>
      </c>
    </row>
    <row r="4" spans="1:5" x14ac:dyDescent="0.2">
      <c r="A4" s="3" t="s">
        <v>215</v>
      </c>
    </row>
    <row r="5" spans="1:5" x14ac:dyDescent="0.2">
      <c r="A5" s="3" t="s">
        <v>216</v>
      </c>
    </row>
    <row r="6" spans="1:5" x14ac:dyDescent="0.2">
      <c r="A6" s="3"/>
      <c r="B6" t="s">
        <v>217</v>
      </c>
    </row>
    <row r="7" spans="1:5" x14ac:dyDescent="0.2">
      <c r="A7" s="3"/>
      <c r="B7" t="s">
        <v>253</v>
      </c>
    </row>
    <row r="8" spans="1:5" x14ac:dyDescent="0.2">
      <c r="A8" s="3"/>
      <c r="B8" t="s">
        <v>218</v>
      </c>
    </row>
    <row r="9" spans="1:5" x14ac:dyDescent="0.2">
      <c r="A9" s="3" t="s">
        <v>219</v>
      </c>
    </row>
    <row r="10" spans="1:5" x14ac:dyDescent="0.2">
      <c r="B10" t="s">
        <v>220</v>
      </c>
    </row>
    <row r="11" spans="1:5" x14ac:dyDescent="0.2">
      <c r="B11" t="s">
        <v>221</v>
      </c>
    </row>
    <row r="14" spans="1:5" ht="16" thickBot="1" x14ac:dyDescent="0.25">
      <c r="A14" t="s">
        <v>222</v>
      </c>
    </row>
    <row r="15" spans="1:5" ht="16" thickBot="1" x14ac:dyDescent="0.25">
      <c r="B15" s="228" t="s">
        <v>109</v>
      </c>
      <c r="C15" s="228" t="s">
        <v>110</v>
      </c>
      <c r="D15" s="228" t="s">
        <v>223</v>
      </c>
      <c r="E15" s="228" t="s">
        <v>224</v>
      </c>
    </row>
    <row r="16" spans="1:5" ht="16" thickBot="1" x14ac:dyDescent="0.25">
      <c r="B16" s="225" t="s">
        <v>230</v>
      </c>
      <c r="C16" s="225" t="s">
        <v>231</v>
      </c>
      <c r="D16" s="229">
        <v>1.6699656017760009E-2</v>
      </c>
      <c r="E16" s="229">
        <v>1.6699656017760009E-2</v>
      </c>
    </row>
    <row r="19" spans="1:7" ht="16" thickBot="1" x14ac:dyDescent="0.25">
      <c r="A19" t="s">
        <v>108</v>
      </c>
    </row>
    <row r="20" spans="1:7" ht="16" thickBot="1" x14ac:dyDescent="0.25">
      <c r="B20" s="228" t="s">
        <v>109</v>
      </c>
      <c r="C20" s="228" t="s">
        <v>110</v>
      </c>
      <c r="D20" s="228" t="s">
        <v>223</v>
      </c>
      <c r="E20" s="228" t="s">
        <v>224</v>
      </c>
      <c r="F20" s="228" t="s">
        <v>225</v>
      </c>
    </row>
    <row r="21" spans="1:7" x14ac:dyDescent="0.2">
      <c r="B21" s="224" t="s">
        <v>180</v>
      </c>
      <c r="C21" s="224" t="s">
        <v>126</v>
      </c>
      <c r="D21" s="230">
        <v>0.1</v>
      </c>
      <c r="E21" s="230">
        <v>0.1</v>
      </c>
      <c r="F21" s="224" t="s">
        <v>232</v>
      </c>
    </row>
    <row r="22" spans="1:7" x14ac:dyDescent="0.2">
      <c r="B22" s="224" t="s">
        <v>181</v>
      </c>
      <c r="C22" s="224" t="s">
        <v>202</v>
      </c>
      <c r="D22" s="230">
        <v>4.9999999999999989E-2</v>
      </c>
      <c r="E22" s="230">
        <v>4.9999999999999989E-2</v>
      </c>
      <c r="F22" s="224" t="s">
        <v>232</v>
      </c>
    </row>
    <row r="23" spans="1:7" x14ac:dyDescent="0.2">
      <c r="B23" s="224" t="s">
        <v>140</v>
      </c>
      <c r="C23" s="224" t="s">
        <v>127</v>
      </c>
      <c r="D23" s="230">
        <v>0.10000000000000003</v>
      </c>
      <c r="E23" s="230">
        <v>0.10000000000000003</v>
      </c>
      <c r="F23" s="224" t="s">
        <v>232</v>
      </c>
    </row>
    <row r="24" spans="1:7" x14ac:dyDescent="0.2">
      <c r="B24" s="224" t="s">
        <v>141</v>
      </c>
      <c r="C24" s="224" t="s">
        <v>203</v>
      </c>
      <c r="D24" s="230">
        <v>4.9999999999999989E-2</v>
      </c>
      <c r="E24" s="230">
        <v>4.9999999999999989E-2</v>
      </c>
      <c r="F24" s="224" t="s">
        <v>232</v>
      </c>
    </row>
    <row r="25" spans="1:7" x14ac:dyDescent="0.2">
      <c r="B25" s="224" t="s">
        <v>142</v>
      </c>
      <c r="C25" s="224" t="s">
        <v>128</v>
      </c>
      <c r="D25" s="230">
        <v>0.10000000000000003</v>
      </c>
      <c r="E25" s="230">
        <v>0.10000000000000003</v>
      </c>
      <c r="F25" s="224" t="s">
        <v>232</v>
      </c>
    </row>
    <row r="26" spans="1:7" x14ac:dyDescent="0.2">
      <c r="B26" s="224" t="s">
        <v>143</v>
      </c>
      <c r="C26" s="224" t="s">
        <v>204</v>
      </c>
      <c r="D26" s="230">
        <v>4.9999999999999989E-2</v>
      </c>
      <c r="E26" s="230">
        <v>4.9999999999999989E-2</v>
      </c>
      <c r="F26" s="224" t="s">
        <v>232</v>
      </c>
    </row>
    <row r="27" spans="1:7" x14ac:dyDescent="0.2">
      <c r="B27" s="224" t="s">
        <v>144</v>
      </c>
      <c r="C27" s="224" t="s">
        <v>129</v>
      </c>
      <c r="D27" s="230">
        <v>5.0000000000000044E-2</v>
      </c>
      <c r="E27" s="230">
        <v>5.0000000000000044E-2</v>
      </c>
      <c r="F27" s="224" t="s">
        <v>232</v>
      </c>
    </row>
    <row r="28" spans="1:7" ht="16" thickBot="1" x14ac:dyDescent="0.25">
      <c r="B28" s="225" t="s">
        <v>145</v>
      </c>
      <c r="C28" s="225" t="s">
        <v>205</v>
      </c>
      <c r="D28" s="231">
        <v>0.5</v>
      </c>
      <c r="E28" s="231">
        <v>0.5</v>
      </c>
      <c r="F28" s="225" t="s">
        <v>232</v>
      </c>
    </row>
    <row r="31" spans="1:7" ht="16" thickBot="1" x14ac:dyDescent="0.25">
      <c r="A31" t="s">
        <v>120</v>
      </c>
    </row>
    <row r="32" spans="1:7" ht="16" thickBot="1" x14ac:dyDescent="0.25">
      <c r="B32" s="228" t="s">
        <v>109</v>
      </c>
      <c r="C32" s="228" t="s">
        <v>110</v>
      </c>
      <c r="D32" s="228" t="s">
        <v>226</v>
      </c>
      <c r="E32" s="228" t="s">
        <v>227</v>
      </c>
      <c r="F32" s="228" t="s">
        <v>228</v>
      </c>
      <c r="G32" s="228" t="s">
        <v>229</v>
      </c>
    </row>
    <row r="33" spans="2:7" x14ac:dyDescent="0.2">
      <c r="B33" s="224" t="s">
        <v>125</v>
      </c>
      <c r="C33" s="224" t="s">
        <v>182</v>
      </c>
      <c r="D33" s="230">
        <v>0.15</v>
      </c>
      <c r="E33" s="224" t="s">
        <v>233</v>
      </c>
      <c r="F33" s="224" t="s">
        <v>234</v>
      </c>
      <c r="G33" s="224">
        <v>0</v>
      </c>
    </row>
    <row r="34" spans="2:7" x14ac:dyDescent="0.2">
      <c r="B34" s="224" t="s">
        <v>146</v>
      </c>
      <c r="C34" s="224" t="s">
        <v>183</v>
      </c>
      <c r="D34" s="230">
        <v>0.65000000000000013</v>
      </c>
      <c r="E34" s="224" t="s">
        <v>235</v>
      </c>
      <c r="F34" s="224" t="s">
        <v>236</v>
      </c>
      <c r="G34" s="230">
        <v>0.45000000000000012</v>
      </c>
    </row>
    <row r="35" spans="2:7" x14ac:dyDescent="0.2">
      <c r="B35" s="224" t="s">
        <v>147</v>
      </c>
      <c r="C35" s="224" t="s">
        <v>206</v>
      </c>
      <c r="D35" s="230">
        <v>0.65000000000000013</v>
      </c>
      <c r="E35" s="224" t="s">
        <v>237</v>
      </c>
      <c r="F35" s="224" t="s">
        <v>236</v>
      </c>
      <c r="G35" s="230">
        <v>0.50000000000000011</v>
      </c>
    </row>
    <row r="36" spans="2:7" x14ac:dyDescent="0.2">
      <c r="B36" s="224" t="s">
        <v>148</v>
      </c>
      <c r="C36" s="224" t="s">
        <v>184</v>
      </c>
      <c r="D36" s="230">
        <v>0.15</v>
      </c>
      <c r="E36" s="224" t="s">
        <v>238</v>
      </c>
      <c r="F36" s="224" t="s">
        <v>234</v>
      </c>
      <c r="G36" s="230">
        <v>0</v>
      </c>
    </row>
    <row r="37" spans="2:7" x14ac:dyDescent="0.2">
      <c r="B37" s="224" t="s">
        <v>149</v>
      </c>
      <c r="C37" s="224" t="s">
        <v>185</v>
      </c>
      <c r="D37" s="230">
        <v>0.15000000000000002</v>
      </c>
      <c r="E37" s="224" t="s">
        <v>239</v>
      </c>
      <c r="F37" s="224" t="s">
        <v>234</v>
      </c>
      <c r="G37" s="230">
        <v>0</v>
      </c>
    </row>
    <row r="38" spans="2:7" x14ac:dyDescent="0.2">
      <c r="B38" s="224" t="s">
        <v>150</v>
      </c>
      <c r="C38" s="224" t="s">
        <v>186</v>
      </c>
      <c r="D38" s="230">
        <v>0.15000000000000002</v>
      </c>
      <c r="E38" s="224" t="s">
        <v>240</v>
      </c>
      <c r="F38" s="224" t="s">
        <v>234</v>
      </c>
      <c r="G38" s="230">
        <v>0</v>
      </c>
    </row>
    <row r="39" spans="2:7" x14ac:dyDescent="0.2">
      <c r="B39" s="224" t="s">
        <v>151</v>
      </c>
      <c r="C39" s="224" t="s">
        <v>208</v>
      </c>
      <c r="D39" s="230">
        <v>0.55000000000000004</v>
      </c>
      <c r="E39" s="224" t="s">
        <v>241</v>
      </c>
      <c r="F39" s="224" t="s">
        <v>236</v>
      </c>
      <c r="G39" s="230">
        <v>0.35000000000000003</v>
      </c>
    </row>
    <row r="40" spans="2:7" x14ac:dyDescent="0.2">
      <c r="B40" s="224" t="s">
        <v>152</v>
      </c>
      <c r="C40" s="224" t="s">
        <v>187</v>
      </c>
      <c r="D40" s="230">
        <v>0.1</v>
      </c>
      <c r="E40" s="224" t="s">
        <v>242</v>
      </c>
      <c r="F40" s="224" t="s">
        <v>236</v>
      </c>
      <c r="G40" s="230">
        <v>0.05</v>
      </c>
    </row>
    <row r="41" spans="2:7" x14ac:dyDescent="0.2">
      <c r="B41" s="224" t="s">
        <v>153</v>
      </c>
      <c r="C41" s="224" t="s">
        <v>188</v>
      </c>
      <c r="D41" s="230">
        <v>4.9999999999999989E-2</v>
      </c>
      <c r="E41" s="224" t="s">
        <v>243</v>
      </c>
      <c r="F41" s="224" t="s">
        <v>234</v>
      </c>
      <c r="G41" s="230">
        <v>0</v>
      </c>
    </row>
    <row r="42" spans="2:7" x14ac:dyDescent="0.2">
      <c r="B42" s="224" t="s">
        <v>154</v>
      </c>
      <c r="C42" s="224" t="s">
        <v>189</v>
      </c>
      <c r="D42" s="230">
        <v>0.10000000000000003</v>
      </c>
      <c r="E42" s="224" t="s">
        <v>244</v>
      </c>
      <c r="F42" s="224" t="s">
        <v>236</v>
      </c>
      <c r="G42" s="230">
        <v>5.0000000000000031E-2</v>
      </c>
    </row>
    <row r="43" spans="2:7" x14ac:dyDescent="0.2">
      <c r="B43" s="224" t="s">
        <v>155</v>
      </c>
      <c r="C43" s="224" t="s">
        <v>190</v>
      </c>
      <c r="D43" s="230">
        <v>4.9999999999999989E-2</v>
      </c>
      <c r="E43" s="224" t="s">
        <v>245</v>
      </c>
      <c r="F43" s="224" t="s">
        <v>234</v>
      </c>
      <c r="G43" s="230">
        <v>0</v>
      </c>
    </row>
    <row r="44" spans="2:7" x14ac:dyDescent="0.2">
      <c r="B44" s="224" t="s">
        <v>156</v>
      </c>
      <c r="C44" s="224" t="s">
        <v>191</v>
      </c>
      <c r="D44" s="230">
        <v>0.10000000000000003</v>
      </c>
      <c r="E44" s="224" t="s">
        <v>246</v>
      </c>
      <c r="F44" s="224" t="s">
        <v>236</v>
      </c>
      <c r="G44" s="230">
        <v>5.0000000000000031E-2</v>
      </c>
    </row>
    <row r="45" spans="2:7" x14ac:dyDescent="0.2">
      <c r="B45" s="224" t="s">
        <v>157</v>
      </c>
      <c r="C45" s="224" t="s">
        <v>192</v>
      </c>
      <c r="D45" s="230">
        <v>4.9999999999999989E-2</v>
      </c>
      <c r="E45" s="224" t="s">
        <v>247</v>
      </c>
      <c r="F45" s="224" t="s">
        <v>234</v>
      </c>
      <c r="G45" s="230">
        <v>0</v>
      </c>
    </row>
    <row r="46" spans="2:7" x14ac:dyDescent="0.2">
      <c r="B46" s="224" t="s">
        <v>158</v>
      </c>
      <c r="C46" s="224" t="s">
        <v>193</v>
      </c>
      <c r="D46" s="230">
        <v>5.0000000000000044E-2</v>
      </c>
      <c r="E46" s="224" t="s">
        <v>248</v>
      </c>
      <c r="F46" s="224" t="s">
        <v>234</v>
      </c>
      <c r="G46" s="230">
        <v>0</v>
      </c>
    </row>
    <row r="47" spans="2:7" x14ac:dyDescent="0.2">
      <c r="B47" s="224" t="s">
        <v>159</v>
      </c>
      <c r="C47" s="224" t="s">
        <v>194</v>
      </c>
      <c r="D47" s="230">
        <v>0.5</v>
      </c>
      <c r="E47" s="224" t="s">
        <v>249</v>
      </c>
      <c r="F47" s="224" t="s">
        <v>236</v>
      </c>
      <c r="G47" s="230">
        <v>0.45</v>
      </c>
    </row>
    <row r="48" spans="2:7" x14ac:dyDescent="0.2">
      <c r="B48" s="224" t="s">
        <v>160</v>
      </c>
      <c r="C48" s="224" t="s">
        <v>195</v>
      </c>
      <c r="D48" s="230">
        <v>1</v>
      </c>
      <c r="E48" s="224" t="s">
        <v>250</v>
      </c>
      <c r="F48" s="224" t="s">
        <v>234</v>
      </c>
      <c r="G48" s="224">
        <v>0</v>
      </c>
    </row>
    <row r="49" spans="2:7" ht="16" thickBot="1" x14ac:dyDescent="0.25">
      <c r="B49" s="225" t="s">
        <v>212</v>
      </c>
      <c r="C49" s="225" t="s">
        <v>213</v>
      </c>
      <c r="D49" s="231">
        <v>1</v>
      </c>
      <c r="E49" s="225" t="s">
        <v>251</v>
      </c>
      <c r="F49" s="225" t="s">
        <v>236</v>
      </c>
      <c r="G49" s="231">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FC113-53E4-034F-BD26-D4F8994A53E4}">
  <sheetPr>
    <tabColor theme="9" tint="-0.499984740745262"/>
  </sheetPr>
  <dimension ref="A1:L43"/>
  <sheetViews>
    <sheetView topLeftCell="A76" zoomScaleNormal="75" workbookViewId="0">
      <selection activeCell="P37" sqref="P37"/>
    </sheetView>
  </sheetViews>
  <sheetFormatPr baseColWidth="10" defaultColWidth="10.83203125" defaultRowHeight="15" x14ac:dyDescent="0.2"/>
  <cols>
    <col min="13" max="13" width="18.33203125" customWidth="1"/>
  </cols>
  <sheetData>
    <row r="1" spans="1:11" ht="24" x14ac:dyDescent="0.25">
      <c r="A1" s="111"/>
      <c r="B1" s="124" t="s">
        <v>139</v>
      </c>
      <c r="C1" s="112"/>
      <c r="D1" s="112"/>
      <c r="E1" s="112"/>
      <c r="F1" s="112"/>
      <c r="G1" s="112"/>
      <c r="H1" s="112"/>
      <c r="I1" s="112"/>
      <c r="J1" s="112"/>
    </row>
    <row r="2" spans="1:11" ht="16" thickBot="1" x14ac:dyDescent="0.25">
      <c r="A2" s="112"/>
      <c r="B2" s="112"/>
      <c r="C2" s="112"/>
      <c r="D2" s="112"/>
      <c r="E2" s="112"/>
      <c r="F2" s="112"/>
      <c r="G2" s="112"/>
      <c r="H2" s="112"/>
      <c r="I2" s="112"/>
      <c r="J2" s="112"/>
    </row>
    <row r="3" spans="1:11" ht="16" thickBot="1" x14ac:dyDescent="0.25">
      <c r="A3" s="112"/>
      <c r="B3" s="188" t="s">
        <v>82</v>
      </c>
      <c r="C3" s="202" t="s">
        <v>9</v>
      </c>
      <c r="D3" s="203"/>
      <c r="E3" s="202" t="s">
        <v>10</v>
      </c>
      <c r="F3" s="204"/>
      <c r="G3" s="205" t="s">
        <v>104</v>
      </c>
      <c r="H3" s="204"/>
      <c r="I3" s="202" t="s">
        <v>105</v>
      </c>
      <c r="J3" s="204"/>
    </row>
    <row r="4" spans="1:11" ht="16" x14ac:dyDescent="0.2">
      <c r="A4" s="112"/>
      <c r="B4" s="189"/>
      <c r="C4" s="194" t="s">
        <v>60</v>
      </c>
      <c r="D4" s="195" t="s">
        <v>168</v>
      </c>
      <c r="E4" s="194" t="s">
        <v>64</v>
      </c>
      <c r="F4" s="198" t="s">
        <v>197</v>
      </c>
      <c r="G4" s="200" t="s">
        <v>62</v>
      </c>
      <c r="H4" s="195" t="s">
        <v>171</v>
      </c>
      <c r="I4" s="200" t="s">
        <v>63</v>
      </c>
      <c r="J4" s="201" t="s">
        <v>174</v>
      </c>
    </row>
    <row r="5" spans="1:11" x14ac:dyDescent="0.2">
      <c r="A5" s="112"/>
      <c r="B5" s="190" t="s">
        <v>83</v>
      </c>
      <c r="C5" s="184" t="s">
        <v>103</v>
      </c>
      <c r="D5" s="185" t="s">
        <v>36</v>
      </c>
      <c r="E5" s="184" t="s">
        <v>37</v>
      </c>
      <c r="F5" s="185" t="s">
        <v>38</v>
      </c>
      <c r="G5" s="184" t="s">
        <v>39</v>
      </c>
      <c r="H5" s="185" t="s">
        <v>40</v>
      </c>
      <c r="I5" s="184" t="s">
        <v>41</v>
      </c>
      <c r="J5" s="185" t="s">
        <v>42</v>
      </c>
    </row>
    <row r="6" spans="1:11" ht="16" thickBot="1" x14ac:dyDescent="0.25">
      <c r="A6" s="112"/>
      <c r="B6" s="191" t="s">
        <v>84</v>
      </c>
      <c r="C6" s="186">
        <v>4.5530185933715182E-2</v>
      </c>
      <c r="D6" s="187">
        <v>2.5564443106785531E-2</v>
      </c>
      <c r="E6" s="186">
        <v>1.1564818027837785E-2</v>
      </c>
      <c r="F6" s="187">
        <v>1.0884127194878032E-2</v>
      </c>
      <c r="G6" s="186">
        <v>5.5431375324955538E-3</v>
      </c>
      <c r="H6" s="187">
        <v>-8.2112646701124111E-3</v>
      </c>
      <c r="I6" s="186">
        <v>1.563254330015652E-2</v>
      </c>
      <c r="J6" s="187">
        <v>1.6484698843539539E-2</v>
      </c>
    </row>
    <row r="7" spans="1:11" ht="16" x14ac:dyDescent="0.2">
      <c r="A7" s="112"/>
      <c r="B7" s="112"/>
      <c r="C7" s="112"/>
      <c r="D7" s="112"/>
      <c r="E7" s="112"/>
      <c r="F7" s="114"/>
      <c r="G7" s="114"/>
      <c r="H7" s="114"/>
      <c r="I7" s="114"/>
      <c r="J7" s="114"/>
    </row>
    <row r="8" spans="1:11" ht="17" thickBot="1" x14ac:dyDescent="0.25">
      <c r="A8" s="112"/>
      <c r="B8" s="112"/>
      <c r="C8" s="112"/>
      <c r="D8" s="112"/>
      <c r="E8" s="112"/>
      <c r="F8" s="114"/>
      <c r="G8" s="114"/>
      <c r="H8" s="114"/>
      <c r="I8" s="114"/>
      <c r="J8" s="114"/>
    </row>
    <row r="9" spans="1:11" ht="12" customHeight="1" x14ac:dyDescent="0.2">
      <c r="A9" s="3" t="s">
        <v>16</v>
      </c>
      <c r="B9" s="112"/>
      <c r="C9" s="206" t="s">
        <v>81</v>
      </c>
      <c r="D9" s="207" t="s">
        <v>81</v>
      </c>
      <c r="E9" s="208" t="s">
        <v>80</v>
      </c>
      <c r="F9" s="208" t="s">
        <v>80</v>
      </c>
      <c r="G9" s="209" t="s">
        <v>79</v>
      </c>
      <c r="H9" s="208" t="s">
        <v>80</v>
      </c>
      <c r="I9" s="209" t="s">
        <v>79</v>
      </c>
      <c r="J9" s="210" t="s">
        <v>79</v>
      </c>
    </row>
    <row r="10" spans="1:11" ht="16" x14ac:dyDescent="0.2">
      <c r="A10" s="112"/>
      <c r="B10" s="112"/>
      <c r="C10" s="65" t="s">
        <v>60</v>
      </c>
      <c r="D10" s="66" t="s">
        <v>168</v>
      </c>
      <c r="E10" s="65" t="s">
        <v>64</v>
      </c>
      <c r="F10" s="67" t="s">
        <v>197</v>
      </c>
      <c r="G10" s="68" t="s">
        <v>62</v>
      </c>
      <c r="H10" s="66" t="s">
        <v>171</v>
      </c>
      <c r="I10" s="68" t="s">
        <v>63</v>
      </c>
      <c r="J10" s="95" t="s">
        <v>174</v>
      </c>
    </row>
    <row r="11" spans="1:11" ht="33" thickBot="1" x14ac:dyDescent="0.25">
      <c r="A11" s="112"/>
      <c r="B11" s="117" t="s">
        <v>85</v>
      </c>
      <c r="C11" s="137">
        <v>1</v>
      </c>
      <c r="D11" s="138">
        <v>0</v>
      </c>
      <c r="E11" s="138">
        <v>1</v>
      </c>
      <c r="F11" s="138">
        <v>0</v>
      </c>
      <c r="G11" s="138">
        <v>1</v>
      </c>
      <c r="H11" s="138">
        <v>0</v>
      </c>
      <c r="I11" s="138">
        <v>1</v>
      </c>
      <c r="J11" s="139">
        <v>1</v>
      </c>
      <c r="K11" s="136" t="s">
        <v>130</v>
      </c>
    </row>
    <row r="12" spans="1:11" x14ac:dyDescent="0.2">
      <c r="A12" s="112"/>
      <c r="B12" s="112"/>
      <c r="C12" s="112"/>
      <c r="D12" s="112"/>
      <c r="E12" s="112"/>
      <c r="F12" s="112"/>
      <c r="G12" s="112"/>
      <c r="H12" s="112"/>
      <c r="I12" s="112"/>
      <c r="J12" s="112"/>
    </row>
    <row r="13" spans="1:11" x14ac:dyDescent="0.2">
      <c r="A13" s="3"/>
      <c r="B13" s="3"/>
      <c r="C13" s="3"/>
      <c r="D13" s="112"/>
      <c r="E13" s="112"/>
      <c r="F13" s="112"/>
      <c r="G13" s="112"/>
      <c r="H13" s="112"/>
      <c r="I13" s="112"/>
      <c r="J13" s="112"/>
    </row>
    <row r="14" spans="1:11" x14ac:dyDescent="0.2">
      <c r="A14" s="112"/>
      <c r="B14" s="112"/>
      <c r="C14" s="112"/>
      <c r="D14" s="112"/>
      <c r="E14" s="112"/>
      <c r="F14" s="112"/>
      <c r="G14" s="112"/>
      <c r="H14" s="112"/>
      <c r="I14" s="112"/>
      <c r="J14" s="112"/>
    </row>
    <row r="15" spans="1:11" x14ac:dyDescent="0.2">
      <c r="A15" s="112"/>
      <c r="B15" s="112"/>
      <c r="C15" s="112"/>
      <c r="D15" s="112"/>
      <c r="E15" s="112"/>
      <c r="F15" s="112"/>
      <c r="G15" s="112"/>
      <c r="H15" s="112"/>
      <c r="I15" s="112"/>
      <c r="J15" s="112"/>
    </row>
    <row r="16" spans="1:11" x14ac:dyDescent="0.2">
      <c r="A16" s="3" t="s">
        <v>17</v>
      </c>
      <c r="B16" s="112"/>
      <c r="C16" s="112"/>
      <c r="D16" s="112"/>
      <c r="E16" s="112"/>
      <c r="F16" s="112"/>
      <c r="G16" s="112"/>
      <c r="H16" s="112"/>
      <c r="I16" s="112"/>
      <c r="J16" s="112"/>
    </row>
    <row r="17" spans="1:12" x14ac:dyDescent="0.2">
      <c r="A17" s="112"/>
      <c r="B17" s="112"/>
      <c r="C17" s="112"/>
      <c r="D17" s="112"/>
      <c r="E17" s="112"/>
      <c r="F17" s="112"/>
      <c r="G17" s="112"/>
      <c r="H17" s="112"/>
      <c r="I17" s="112"/>
      <c r="J17" s="112"/>
    </row>
    <row r="18" spans="1:12" x14ac:dyDescent="0.2">
      <c r="A18" s="112"/>
      <c r="B18" s="118" t="s">
        <v>201</v>
      </c>
      <c r="C18" s="119">
        <f>SUMPRODUCT(C6:J6,C11:J11)</f>
        <v>9.4755383637744578E-2</v>
      </c>
      <c r="D18" s="112"/>
      <c r="E18" s="112"/>
      <c r="F18" s="112"/>
      <c r="G18" s="112"/>
      <c r="H18" s="112"/>
      <c r="I18" s="112"/>
    </row>
    <row r="19" spans="1:12" x14ac:dyDescent="0.2">
      <c r="A19" s="112"/>
      <c r="B19" s="112"/>
      <c r="C19" s="112"/>
      <c r="D19" s="112"/>
      <c r="E19" s="112"/>
      <c r="F19" s="112"/>
      <c r="G19" s="112"/>
      <c r="H19" s="112"/>
      <c r="I19" s="112"/>
    </row>
    <row r="20" spans="1:12" x14ac:dyDescent="0.2">
      <c r="A20" s="3" t="s">
        <v>18</v>
      </c>
      <c r="B20" s="112"/>
      <c r="C20" s="112"/>
      <c r="D20" s="112"/>
      <c r="E20" s="112"/>
      <c r="F20" s="112"/>
      <c r="G20" s="112"/>
      <c r="H20" s="112"/>
      <c r="I20" s="112"/>
    </row>
    <row r="21" spans="1:12" x14ac:dyDescent="0.2">
      <c r="A21" s="116" t="s">
        <v>178</v>
      </c>
      <c r="B21" s="116"/>
      <c r="C21" s="116" t="s">
        <v>86</v>
      </c>
      <c r="D21" s="112"/>
      <c r="E21" s="112"/>
      <c r="F21" s="112"/>
      <c r="G21" s="112"/>
      <c r="H21" s="112"/>
      <c r="I21" s="112"/>
    </row>
    <row r="22" spans="1:12" x14ac:dyDescent="0.2">
      <c r="A22" s="140">
        <f>SUM(C11:J11)</f>
        <v>5</v>
      </c>
      <c r="B22" s="120" t="s">
        <v>87</v>
      </c>
      <c r="C22" s="140">
        <v>5</v>
      </c>
      <c r="D22" s="112"/>
      <c r="E22" s="3" t="s">
        <v>134</v>
      </c>
      <c r="F22" s="112"/>
      <c r="G22" s="112"/>
      <c r="H22" s="112"/>
      <c r="I22" s="112"/>
    </row>
    <row r="23" spans="1:12" x14ac:dyDescent="0.2">
      <c r="A23" s="112"/>
      <c r="B23" s="112"/>
      <c r="C23" s="112"/>
      <c r="D23" s="112"/>
      <c r="E23" s="3"/>
      <c r="F23" s="112"/>
      <c r="G23" s="112"/>
      <c r="H23" s="112"/>
      <c r="I23" s="112"/>
    </row>
    <row r="24" spans="1:12" x14ac:dyDescent="0.2">
      <c r="A24" s="141">
        <f>SUM(C11:D11)</f>
        <v>1</v>
      </c>
      <c r="B24" s="123" t="s">
        <v>91</v>
      </c>
      <c r="C24" s="140">
        <v>1</v>
      </c>
      <c r="D24" s="112"/>
      <c r="E24" s="3" t="s">
        <v>135</v>
      </c>
      <c r="F24" s="112"/>
      <c r="G24" s="112"/>
      <c r="H24" s="112"/>
      <c r="I24" s="112"/>
    </row>
    <row r="25" spans="1:12" x14ac:dyDescent="0.2">
      <c r="A25" s="142"/>
      <c r="B25" s="112"/>
      <c r="C25" s="112"/>
      <c r="D25" s="112"/>
      <c r="E25" s="112"/>
      <c r="F25" s="112"/>
      <c r="G25" s="112"/>
      <c r="H25" s="112"/>
      <c r="I25" s="112"/>
    </row>
    <row r="26" spans="1:12" x14ac:dyDescent="0.2">
      <c r="A26" s="143">
        <f>SUM(E11:F11)</f>
        <v>1</v>
      </c>
      <c r="B26" s="123" t="s">
        <v>91</v>
      </c>
      <c r="C26" s="143">
        <v>1</v>
      </c>
      <c r="D26" s="112"/>
      <c r="E26" s="3" t="s">
        <v>136</v>
      </c>
      <c r="F26" s="112"/>
      <c r="G26" s="112"/>
      <c r="H26" s="112"/>
      <c r="I26" s="112"/>
      <c r="J26" s="134"/>
      <c r="L26" s="135"/>
    </row>
    <row r="27" spans="1:12" x14ac:dyDescent="0.2">
      <c r="A27" s="142"/>
      <c r="B27" s="112"/>
      <c r="C27" s="112"/>
      <c r="D27" s="112"/>
      <c r="E27" s="112"/>
      <c r="F27" s="112"/>
      <c r="G27" s="112"/>
      <c r="H27" s="112"/>
      <c r="I27" s="112"/>
      <c r="J27" s="112"/>
    </row>
    <row r="28" spans="1:12" x14ac:dyDescent="0.2">
      <c r="A28" s="143">
        <f>SUM(G11:H11)</f>
        <v>1</v>
      </c>
      <c r="B28" s="123" t="s">
        <v>91</v>
      </c>
      <c r="C28" s="143">
        <v>1</v>
      </c>
      <c r="E28" s="3" t="s">
        <v>137</v>
      </c>
    </row>
    <row r="29" spans="1:12" x14ac:dyDescent="0.2">
      <c r="A29" s="144"/>
    </row>
    <row r="30" spans="1:12" x14ac:dyDescent="0.2">
      <c r="A30" s="143">
        <f>SUM(I11:J11)</f>
        <v>2</v>
      </c>
      <c r="B30" s="123" t="s">
        <v>91</v>
      </c>
      <c r="C30" s="143">
        <v>1</v>
      </c>
      <c r="E30" s="3" t="s">
        <v>138</v>
      </c>
    </row>
    <row r="31" spans="1:12" x14ac:dyDescent="0.2">
      <c r="A31" s="144"/>
    </row>
    <row r="32" spans="1:12" x14ac:dyDescent="0.2">
      <c r="A32" s="143">
        <f>SUM(C11,D11,)</f>
        <v>1</v>
      </c>
      <c r="B32" s="123" t="s">
        <v>14</v>
      </c>
      <c r="C32" s="143">
        <v>1</v>
      </c>
      <c r="E32" s="3" t="s">
        <v>131</v>
      </c>
    </row>
    <row r="33" spans="1:5" x14ac:dyDescent="0.2">
      <c r="A33" s="144"/>
    </row>
    <row r="34" spans="1:5" x14ac:dyDescent="0.2">
      <c r="A34" s="143">
        <f>SUM(I11,G11,J11)</f>
        <v>3</v>
      </c>
      <c r="B34" s="123" t="s">
        <v>91</v>
      </c>
      <c r="C34" s="143">
        <v>2</v>
      </c>
      <c r="E34" s="3" t="s">
        <v>132</v>
      </c>
    </row>
    <row r="35" spans="1:5" x14ac:dyDescent="0.2">
      <c r="A35" s="144"/>
    </row>
    <row r="36" spans="1:5" x14ac:dyDescent="0.2">
      <c r="A36" s="143">
        <f>SUM(C11,D11)</f>
        <v>1</v>
      </c>
      <c r="B36" s="123" t="s">
        <v>14</v>
      </c>
      <c r="C36" s="143">
        <f>SUM(E11,F11,H11)</f>
        <v>1</v>
      </c>
      <c r="E36" s="3" t="s">
        <v>133</v>
      </c>
    </row>
    <row r="37" spans="1:5" x14ac:dyDescent="0.2">
      <c r="A37" s="182"/>
    </row>
    <row r="38" spans="1:5" x14ac:dyDescent="0.2">
      <c r="A38" s="108"/>
      <c r="B38" s="123"/>
      <c r="C38" s="108"/>
      <c r="E38" s="3"/>
    </row>
    <row r="39" spans="1:5" x14ac:dyDescent="0.2">
      <c r="A39" s="180"/>
      <c r="B39" s="181"/>
      <c r="C39" s="181"/>
      <c r="D39" s="181"/>
      <c r="E39" s="146"/>
    </row>
    <row r="40" spans="1:5" x14ac:dyDescent="0.2">
      <c r="A40" s="147"/>
      <c r="B40" s="148"/>
      <c r="C40" s="147"/>
      <c r="D40" s="146"/>
      <c r="E40" s="149"/>
    </row>
    <row r="41" spans="1:5" x14ac:dyDescent="0.2">
      <c r="A41" s="145"/>
      <c r="B41" s="146"/>
      <c r="C41" s="146"/>
      <c r="D41" s="146"/>
      <c r="E41" s="146"/>
    </row>
    <row r="42" spans="1:5" x14ac:dyDescent="0.2">
      <c r="A42" s="147"/>
      <c r="B42" s="148"/>
      <c r="C42" s="147"/>
      <c r="D42" s="146"/>
      <c r="E42" s="149"/>
    </row>
    <row r="43" spans="1:5" x14ac:dyDescent="0.2">
      <c r="A43" s="146"/>
      <c r="B43" s="146"/>
      <c r="C43" s="146"/>
      <c r="D43" s="146"/>
      <c r="E43" s="146"/>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8E405-A9DD-4E8E-B756-B22C1F31BD3F}">
  <dimension ref="C2:J28"/>
  <sheetViews>
    <sheetView tabSelected="1" zoomScale="86" workbookViewId="0">
      <selection activeCell="M17" sqref="M17"/>
    </sheetView>
  </sheetViews>
  <sheetFormatPr baseColWidth="10" defaultColWidth="8.83203125" defaultRowHeight="15" x14ac:dyDescent="0.2"/>
  <cols>
    <col min="3" max="3" width="13.5" customWidth="1"/>
    <col min="4" max="4" width="33.1640625" customWidth="1"/>
    <col min="5" max="5" width="12.5" customWidth="1"/>
    <col min="6" max="6" width="16.83203125" customWidth="1"/>
    <col min="7" max="8" width="12.5" customWidth="1"/>
    <col min="9" max="9" width="21.83203125" customWidth="1"/>
    <col min="10" max="11" width="12.5" customWidth="1"/>
  </cols>
  <sheetData>
    <row r="2" spans="3:10" ht="22" thickBot="1" x14ac:dyDescent="0.3">
      <c r="D2" s="24" t="s">
        <v>76</v>
      </c>
    </row>
    <row r="3" spans="3:10" ht="57" customHeight="1" x14ac:dyDescent="0.2">
      <c r="C3" s="10" t="s">
        <v>1</v>
      </c>
      <c r="D3" s="10" t="s">
        <v>2</v>
      </c>
      <c r="E3" s="59" t="s">
        <v>51</v>
      </c>
      <c r="F3" s="59" t="s">
        <v>52</v>
      </c>
      <c r="G3" s="60" t="s">
        <v>4</v>
      </c>
      <c r="H3" s="61" t="s">
        <v>32</v>
      </c>
      <c r="I3" s="61" t="s">
        <v>26</v>
      </c>
      <c r="J3" s="62" t="s">
        <v>75</v>
      </c>
    </row>
    <row r="4" spans="3:10" ht="16" x14ac:dyDescent="0.2">
      <c r="C4" s="8" t="s">
        <v>69</v>
      </c>
      <c r="D4" s="73" t="s">
        <v>70</v>
      </c>
      <c r="E4" s="248" t="s">
        <v>43</v>
      </c>
      <c r="F4" s="52" t="s">
        <v>35</v>
      </c>
      <c r="G4" s="4">
        <f ca="1">'1.b Sample  (Return and Risk)'!C56</f>
        <v>4.5530185933715182E-2</v>
      </c>
      <c r="H4" s="4">
        <f ca="1">'1.b Sample  (Return and Risk)'!C57</f>
        <v>0.10936385592244387</v>
      </c>
      <c r="I4" s="105" t="s">
        <v>81</v>
      </c>
      <c r="J4" s="150">
        <f>'2.a. LP Modelling'!C11</f>
        <v>0.1</v>
      </c>
    </row>
    <row r="5" spans="3:10" ht="17" thickBot="1" x14ac:dyDescent="0.25">
      <c r="C5" s="8" t="s">
        <v>168</v>
      </c>
      <c r="D5" s="75" t="s">
        <v>169</v>
      </c>
      <c r="E5" s="248"/>
      <c r="F5" s="52" t="s">
        <v>36</v>
      </c>
      <c r="G5" s="4">
        <f ca="1">'1.b Sample  (Return and Risk)'!D56</f>
        <v>2.5564443106785531E-2</v>
      </c>
      <c r="H5" s="4">
        <f ca="1">'1.b Sample  (Return and Risk)'!D57</f>
        <v>0.13553167397727031</v>
      </c>
      <c r="I5" s="105" t="s">
        <v>81</v>
      </c>
      <c r="J5" s="150">
        <f>'2.a. LP Modelling'!D11</f>
        <v>4.9999999999999989E-2</v>
      </c>
    </row>
    <row r="6" spans="3:10" ht="17" thickBot="1" x14ac:dyDescent="0.25">
      <c r="C6" s="9" t="s">
        <v>71</v>
      </c>
      <c r="D6" s="74" t="s">
        <v>72</v>
      </c>
      <c r="E6" s="238" t="s">
        <v>44</v>
      </c>
      <c r="F6" s="54" t="s">
        <v>37</v>
      </c>
      <c r="G6" s="4">
        <f ca="1">'1.b Sample  (Return and Risk)'!E56</f>
        <v>1.1564818027837785E-2</v>
      </c>
      <c r="H6" s="4">
        <f ca="1">'1.b Sample  (Return and Risk)'!E57</f>
        <v>9.4151228850625754E-2</v>
      </c>
      <c r="I6" s="208" t="s">
        <v>80</v>
      </c>
      <c r="J6" s="150">
        <f>'2.a. LP Modelling'!E11</f>
        <v>0.10000000000000003</v>
      </c>
    </row>
    <row r="7" spans="3:10" ht="17" thickBot="1" x14ac:dyDescent="0.25">
      <c r="C7" s="9" t="s">
        <v>197</v>
      </c>
      <c r="D7" s="75" t="s">
        <v>198</v>
      </c>
      <c r="E7" s="238"/>
      <c r="F7" s="54" t="s">
        <v>38</v>
      </c>
      <c r="G7" s="4">
        <f ca="1">'1.b Sample  (Return and Risk)'!F56</f>
        <v>1.0884127194878032E-2</v>
      </c>
      <c r="H7" s="4">
        <f ca="1">'1.b Sample  (Return and Risk)'!F57</f>
        <v>8.0188898431855518E-2</v>
      </c>
      <c r="I7" s="208" t="s">
        <v>80</v>
      </c>
      <c r="J7" s="150">
        <f>'2.a. LP Modelling'!F11</f>
        <v>4.9999999999999989E-2</v>
      </c>
    </row>
    <row r="8" spans="3:10" ht="17" thickBot="1" x14ac:dyDescent="0.25">
      <c r="C8" s="8" t="s">
        <v>62</v>
      </c>
      <c r="D8" s="73" t="s">
        <v>73</v>
      </c>
      <c r="E8" s="242" t="s">
        <v>45</v>
      </c>
      <c r="F8" s="55" t="s">
        <v>39</v>
      </c>
      <c r="G8" s="4">
        <f ca="1">'1.b Sample  (Return and Risk)'!G56</f>
        <v>5.5431375324955538E-3</v>
      </c>
      <c r="H8" s="4">
        <f ca="1">'1.b Sample  (Return and Risk)'!G57</f>
        <v>3.5698466399920525E-2</v>
      </c>
      <c r="I8" s="209" t="s">
        <v>79</v>
      </c>
      <c r="J8" s="150">
        <f>'2.a. LP Modelling'!G11</f>
        <v>0.10000000000000003</v>
      </c>
    </row>
    <row r="9" spans="3:10" ht="17" thickBot="1" x14ac:dyDescent="0.25">
      <c r="C9" s="8" t="s">
        <v>171</v>
      </c>
      <c r="D9" s="75" t="s">
        <v>170</v>
      </c>
      <c r="E9" s="242"/>
      <c r="F9" s="55" t="s">
        <v>40</v>
      </c>
      <c r="G9" s="4">
        <f ca="1">'1.b Sample  (Return and Risk)'!H56</f>
        <v>-8.2112646701124111E-3</v>
      </c>
      <c r="H9" s="4">
        <f ca="1">'1.b Sample  (Return and Risk)'!H57</f>
        <v>7.254003966278906E-2</v>
      </c>
      <c r="I9" s="208" t="s">
        <v>80</v>
      </c>
      <c r="J9" s="150">
        <f>'2.a. LP Modelling'!H11</f>
        <v>4.9999999999999989E-2</v>
      </c>
    </row>
    <row r="10" spans="3:10" ht="17" thickBot="1" x14ac:dyDescent="0.25">
      <c r="C10" s="176" t="s">
        <v>63</v>
      </c>
      <c r="D10" s="74" t="s">
        <v>74</v>
      </c>
      <c r="E10" s="243" t="s">
        <v>46</v>
      </c>
      <c r="F10" s="56" t="s">
        <v>41</v>
      </c>
      <c r="G10" s="4">
        <f ca="1">'1.b Sample  (Return and Risk)'!I56</f>
        <v>1.563254330015652E-2</v>
      </c>
      <c r="H10" s="4">
        <f ca="1">'1.b Sample  (Return and Risk)'!I57</f>
        <v>6.2967475865032346E-2</v>
      </c>
      <c r="I10" s="209" t="s">
        <v>79</v>
      </c>
      <c r="J10" s="150">
        <f>'2.a. LP Modelling'!I11</f>
        <v>5.0000000000000044E-2</v>
      </c>
    </row>
    <row r="11" spans="3:10" ht="17" thickBot="1" x14ac:dyDescent="0.25">
      <c r="C11" s="9" t="s">
        <v>174</v>
      </c>
      <c r="D11" s="75" t="s">
        <v>173</v>
      </c>
      <c r="E11" s="254"/>
      <c r="F11" s="58" t="s">
        <v>42</v>
      </c>
      <c r="G11" s="50">
        <f ca="1">'1.b Sample  (Return and Risk)'!J56</f>
        <v>1.6484698843539539E-2</v>
      </c>
      <c r="H11" s="50">
        <f ca="1">'1.b Sample  (Return and Risk)'!J57</f>
        <v>4.8592930823745273E-2</v>
      </c>
      <c r="I11" s="209" t="s">
        <v>79</v>
      </c>
      <c r="J11" s="211">
        <f>'2.a. LP Modelling'!J11</f>
        <v>0.5</v>
      </c>
    </row>
    <row r="13" spans="3:10" ht="18" customHeight="1" x14ac:dyDescent="0.2">
      <c r="D13" s="22" t="s">
        <v>31</v>
      </c>
      <c r="E13" s="151">
        <f>'2.a. LP Modelling'!C16</f>
        <v>1.6699656017760009E-2</v>
      </c>
      <c r="I13" s="53" t="s">
        <v>162</v>
      </c>
      <c r="J13" s="152">
        <f>SUM(J4:J11)</f>
        <v>1</v>
      </c>
    </row>
    <row r="17" spans="3:10" ht="22" thickBot="1" x14ac:dyDescent="0.3">
      <c r="D17" s="24" t="s">
        <v>77</v>
      </c>
    </row>
    <row r="18" spans="3:10" ht="50.5" customHeight="1" thickBot="1" x14ac:dyDescent="0.25">
      <c r="C18" s="10" t="s">
        <v>1</v>
      </c>
      <c r="D18" s="10" t="s">
        <v>2</v>
      </c>
      <c r="E18" s="44" t="s">
        <v>51</v>
      </c>
      <c r="F18" s="44" t="s">
        <v>52</v>
      </c>
      <c r="G18" s="45" t="s">
        <v>4</v>
      </c>
      <c r="H18" s="46" t="s">
        <v>32</v>
      </c>
      <c r="I18" s="46" t="s">
        <v>26</v>
      </c>
      <c r="J18" s="47" t="s">
        <v>34</v>
      </c>
    </row>
    <row r="19" spans="3:10" ht="16" x14ac:dyDescent="0.2">
      <c r="C19" s="8" t="s">
        <v>69</v>
      </c>
      <c r="D19" s="73" t="s">
        <v>70</v>
      </c>
      <c r="E19" s="255" t="s">
        <v>43</v>
      </c>
      <c r="F19" s="57" t="s">
        <v>35</v>
      </c>
      <c r="G19" s="4">
        <v>4.5530185933715182E-2</v>
      </c>
      <c r="H19" s="4">
        <v>0.10936385592244387</v>
      </c>
      <c r="I19" s="105" t="s">
        <v>81</v>
      </c>
      <c r="J19" s="48">
        <f>'3a. ILP Modelling'!C11</f>
        <v>1</v>
      </c>
    </row>
    <row r="20" spans="3:10" ht="17" thickBot="1" x14ac:dyDescent="0.25">
      <c r="C20" s="8" t="s">
        <v>168</v>
      </c>
      <c r="D20" s="75" t="s">
        <v>169</v>
      </c>
      <c r="E20" s="248"/>
      <c r="F20" s="52" t="s">
        <v>36</v>
      </c>
      <c r="G20" s="4">
        <v>2.5564443106785531E-2</v>
      </c>
      <c r="H20" s="4">
        <v>0.13553167397727031</v>
      </c>
      <c r="I20" s="105" t="s">
        <v>81</v>
      </c>
      <c r="J20" s="49">
        <f>'3a. ILP Modelling'!D11</f>
        <v>0</v>
      </c>
    </row>
    <row r="21" spans="3:10" ht="17" thickBot="1" x14ac:dyDescent="0.25">
      <c r="C21" s="9" t="s">
        <v>71</v>
      </c>
      <c r="D21" s="74" t="s">
        <v>72</v>
      </c>
      <c r="E21" s="238" t="s">
        <v>44</v>
      </c>
      <c r="F21" s="54" t="s">
        <v>37</v>
      </c>
      <c r="G21" s="4">
        <v>1.1564818027837785E-2</v>
      </c>
      <c r="H21" s="4">
        <v>9.4151228850625754E-2</v>
      </c>
      <c r="I21" s="208" t="s">
        <v>80</v>
      </c>
      <c r="J21" s="49">
        <f>'3a. ILP Modelling'!E11</f>
        <v>1</v>
      </c>
    </row>
    <row r="22" spans="3:10" ht="17" thickBot="1" x14ac:dyDescent="0.25">
      <c r="C22" s="9" t="s">
        <v>197</v>
      </c>
      <c r="D22" s="75" t="s">
        <v>198</v>
      </c>
      <c r="E22" s="238"/>
      <c r="F22" s="54" t="s">
        <v>38</v>
      </c>
      <c r="G22" s="4">
        <v>1.0884127194878032E-2</v>
      </c>
      <c r="H22" s="4">
        <v>8.0188898431855518E-2</v>
      </c>
      <c r="I22" s="208" t="s">
        <v>80</v>
      </c>
      <c r="J22" s="49">
        <f>'3a. ILP Modelling'!F11</f>
        <v>0</v>
      </c>
    </row>
    <row r="23" spans="3:10" ht="17" thickBot="1" x14ac:dyDescent="0.25">
      <c r="C23" s="8" t="s">
        <v>62</v>
      </c>
      <c r="D23" s="73" t="s">
        <v>73</v>
      </c>
      <c r="E23" s="242" t="s">
        <v>45</v>
      </c>
      <c r="F23" s="55" t="s">
        <v>39</v>
      </c>
      <c r="G23" s="4">
        <v>5.5431375324955538E-3</v>
      </c>
      <c r="H23" s="4">
        <v>3.5698466399920525E-2</v>
      </c>
      <c r="I23" s="209" t="s">
        <v>79</v>
      </c>
      <c r="J23" s="49">
        <f>'3a. ILP Modelling'!G11</f>
        <v>1</v>
      </c>
    </row>
    <row r="24" spans="3:10" ht="17" thickBot="1" x14ac:dyDescent="0.25">
      <c r="C24" s="8" t="s">
        <v>171</v>
      </c>
      <c r="D24" s="75" t="s">
        <v>170</v>
      </c>
      <c r="E24" s="242"/>
      <c r="F24" s="55" t="s">
        <v>40</v>
      </c>
      <c r="G24" s="4">
        <v>-8.2112646701124111E-3</v>
      </c>
      <c r="H24" s="4">
        <v>7.254003966278906E-2</v>
      </c>
      <c r="I24" s="208" t="s">
        <v>80</v>
      </c>
      <c r="J24" s="49">
        <f>'3a. ILP Modelling'!H11</f>
        <v>0</v>
      </c>
    </row>
    <row r="25" spans="3:10" ht="17" thickBot="1" x14ac:dyDescent="0.25">
      <c r="C25" s="176" t="s">
        <v>63</v>
      </c>
      <c r="D25" s="74" t="s">
        <v>74</v>
      </c>
      <c r="E25" s="243" t="s">
        <v>46</v>
      </c>
      <c r="F25" s="56" t="s">
        <v>41</v>
      </c>
      <c r="G25" s="4">
        <v>1.563254330015652E-2</v>
      </c>
      <c r="H25" s="4">
        <v>6.2967475865032346E-2</v>
      </c>
      <c r="I25" s="209" t="s">
        <v>79</v>
      </c>
      <c r="J25" s="49">
        <f>'3a. ILP Modelling'!I11</f>
        <v>1</v>
      </c>
    </row>
    <row r="26" spans="3:10" ht="17" thickBot="1" x14ac:dyDescent="0.25">
      <c r="C26" s="9" t="s">
        <v>174</v>
      </c>
      <c r="D26" s="75" t="s">
        <v>173</v>
      </c>
      <c r="E26" s="254"/>
      <c r="F26" s="58" t="s">
        <v>42</v>
      </c>
      <c r="G26" s="50">
        <v>1.6484698843539539E-2</v>
      </c>
      <c r="H26" s="50">
        <v>4.8592930823745273E-2</v>
      </c>
      <c r="I26" s="209" t="s">
        <v>79</v>
      </c>
      <c r="J26" s="51">
        <f>'3a. ILP Modelling'!J11</f>
        <v>1</v>
      </c>
    </row>
    <row r="28" spans="3:10" ht="16" x14ac:dyDescent="0.2">
      <c r="D28" s="22" t="s">
        <v>31</v>
      </c>
      <c r="E28" s="151">
        <f>'3a. ILP Modelling'!C18</f>
        <v>9.4755383637744578E-2</v>
      </c>
      <c r="I28" s="53" t="s">
        <v>163</v>
      </c>
      <c r="J28" s="20">
        <f>SUM(J19:J26)</f>
        <v>5</v>
      </c>
    </row>
  </sheetData>
  <mergeCells count="8">
    <mergeCell ref="E21:E22"/>
    <mergeCell ref="E23:E24"/>
    <mergeCell ref="E25:E26"/>
    <mergeCell ref="E4:E5"/>
    <mergeCell ref="E6:E7"/>
    <mergeCell ref="E8:E9"/>
    <mergeCell ref="E10:E11"/>
    <mergeCell ref="E19:E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Sheet1</vt:lpstr>
      <vt:lpstr>1.a Compute rate of return</vt:lpstr>
      <vt:lpstr>1.b Sample  (Return and Risk)</vt:lpstr>
      <vt:lpstr>2.a. LP Modelling</vt:lpstr>
      <vt:lpstr>2.b LP Sensitivity Report </vt:lpstr>
      <vt:lpstr>Answer Report 1</vt:lpstr>
      <vt:lpstr>3a. ILP Modelling</vt:lpstr>
      <vt:lpstr>Summary 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Zahra Hosseinifard</dc:creator>
  <cp:keywords/>
  <dc:description/>
  <cp:lastModifiedBy>gokul baskar</cp:lastModifiedBy>
  <cp:revision/>
  <dcterms:created xsi:type="dcterms:W3CDTF">2015-06-05T18:17:20Z</dcterms:created>
  <dcterms:modified xsi:type="dcterms:W3CDTF">2026-03-23T13:26:50Z</dcterms:modified>
  <cp:category/>
  <cp:contentStatus/>
</cp:coreProperties>
</file>