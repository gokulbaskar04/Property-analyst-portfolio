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gokul/Downloads/"/>
    </mc:Choice>
  </mc:AlternateContent>
  <xr:revisionPtr revIDLastSave="0" documentId="13_ncr:1_{76C67820-FD8E-5E4B-8032-87E468FB5E34}" xr6:coauthVersionLast="47" xr6:coauthVersionMax="47" xr10:uidLastSave="{00000000-0000-0000-0000-000000000000}"/>
  <bookViews>
    <workbookView xWindow="28800" yWindow="0" windowWidth="38400" windowHeight="21600" tabRatio="500" xr2:uid="{00000000-000D-0000-FFFF-FFFF00000000}"/>
  </bookViews>
  <sheets>
    <sheet name="Comparable_Sal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F19" i="1"/>
  <c r="F18" i="1"/>
  <c r="F17" i="1"/>
</calcChain>
</file>

<file path=xl/sharedStrings.xml><?xml version="1.0" encoding="utf-8"?>
<sst xmlns="http://schemas.openxmlformats.org/spreadsheetml/2006/main" count="137" uniqueCount="123">
  <si>
    <t>COMPARABLE SALES ANALYSIS — MELBOURNE COMMERCIAL PROPERTY MARKET</t>
  </si>
  <si>
    <t>Data sourced from: Domain.com.au, realcommercial.com.au, CBRE Research, Savills — Transactions Q1 2024 – Q1 2025</t>
  </si>
  <si>
    <t>#</t>
  </si>
  <si>
    <t>Address</t>
  </si>
  <si>
    <t>Suburb / Market</t>
  </si>
  <si>
    <t>Property Type</t>
  </si>
  <si>
    <t>Sale Date</t>
  </si>
  <si>
    <t>Land Area
(sqm)</t>
  </si>
  <si>
    <t>GLA / NLA
(sqm)</t>
  </si>
  <si>
    <t>Sale Price
($)</t>
  </si>
  <si>
    <t>Price/sqm
(GLA)</t>
  </si>
  <si>
    <t>Passing NOI
($)</t>
  </si>
  <si>
    <t>Yield
(%)</t>
  </si>
  <si>
    <t>Days on
Market</t>
  </si>
  <si>
    <t>Vendor</t>
  </si>
  <si>
    <t>Key Observations</t>
  </si>
  <si>
    <t>55 Collins St</t>
  </si>
  <si>
    <t>Melbourne CBD</t>
  </si>
  <si>
    <t>Premium Office</t>
  </si>
  <si>
    <t>N/A</t>
  </si>
  <si>
    <t>Dexus</t>
  </si>
  <si>
    <t>Sold on 5.2% cap; strong CBD office demand; NABERS 5.5 star premium</t>
  </si>
  <si>
    <t>182 City Rd</t>
  </si>
  <si>
    <t>Southbank</t>
  </si>
  <si>
    <t>A-Grade Office</t>
  </si>
  <si>
    <t>Charter Hall</t>
  </si>
  <si>
    <t>Tight yield reflects Southbank office scarcity; 96% occupied at sale</t>
  </si>
  <si>
    <t>Chadstone Gateway</t>
  </si>
  <si>
    <t>Chadstone</t>
  </si>
  <si>
    <t>Neighbourhood Retail</t>
  </si>
  <si>
    <t>Vicinity Centres</t>
  </si>
  <si>
    <t>Anchored by Woolworths; long WALE 6.2yrs; below-market rents = upside</t>
  </si>
  <si>
    <t>14-20 Princes Hwy</t>
  </si>
  <si>
    <t>Dandenong</t>
  </si>
  <si>
    <t>Industrial / Logistics</t>
  </si>
  <si>
    <t>Private</t>
  </si>
  <si>
    <t>Tight industrial cap; e-comm demand driving sub-5% yields SE corridor</t>
  </si>
  <si>
    <t>220 Ferntree Gully Rd</t>
  </si>
  <si>
    <t>Knoxfield</t>
  </si>
  <si>
    <t>Industrial</t>
  </si>
  <si>
    <t>Goodman</t>
  </si>
  <si>
    <t>Sale-leaseback; 7yr lease back; Knoxfield industrial hub growth</t>
  </si>
  <si>
    <t>420 St Kilda Rd</t>
  </si>
  <si>
    <t>St Kilda Rd</t>
  </si>
  <si>
    <t>B-Grade Office</t>
  </si>
  <si>
    <t>Higher yield reflects B-grade; 82% occupancy at sale; refurb upside</t>
  </si>
  <si>
    <t>35 Garden St</t>
  </si>
  <si>
    <t>South Yarra</t>
  </si>
  <si>
    <t>Boutique Retail Strip</t>
  </si>
  <si>
    <t>High-street South Yarra; 4.8% yield; mixed use conversion potential</t>
  </si>
  <si>
    <t>1 Logistics Dr</t>
  </si>
  <si>
    <t>Truganina</t>
  </si>
  <si>
    <t>Large Format Industrial</t>
  </si>
  <si>
    <t>ESR Group</t>
  </si>
  <si>
    <t>Record west-side yield; modern A-grade spec warehouse; 100% leased</t>
  </si>
  <si>
    <t>Doncaster Shoppingtown
(partial stake)</t>
  </si>
  <si>
    <t>Doncaster</t>
  </si>
  <si>
    <t>Sub-regional Retail</t>
  </si>
  <si>
    <t>Scentre Group</t>
  </si>
  <si>
    <t>Partial 30% stake; blended yield reflects retail risk premium vs office</t>
  </si>
  <si>
    <t>88 Moray St</t>
  </si>
  <si>
    <t>South Melbourne</t>
  </si>
  <si>
    <t>Creative Office</t>
  </si>
  <si>
    <t>Creative/tech precinct; sub-5% yield for quality creative stock; WELL certified</t>
  </si>
  <si>
    <t>MARKET SUMMARY STATISTICS — DERIVED FROM COMP SET</t>
  </si>
  <si>
    <t>Metric</t>
  </si>
  <si>
    <t>Office (CBD)</t>
  </si>
  <si>
    <t>Retail</t>
  </si>
  <si>
    <t>All Asset Classes</t>
  </si>
  <si>
    <t>Avg Sale Price ($)</t>
  </si>
  <si>
    <t>$22.9M</t>
  </si>
  <si>
    <t>$18.7M</t>
  </si>
  <si>
    <t>$16.4M</t>
  </si>
  <si>
    <t>Avg Price / sqm (GLA)</t>
  </si>
  <si>
    <t>$5,833</t>
  </si>
  <si>
    <t>$5,729</t>
  </si>
  <si>
    <t>$3,185</t>
  </si>
  <si>
    <t>Avg Passing Yield (%)</t>
  </si>
  <si>
    <t>5.2%</t>
  </si>
  <si>
    <t>5.7%</t>
  </si>
  <si>
    <t>5.4%</t>
  </si>
  <si>
    <t>Yield Range</t>
  </si>
  <si>
    <t>4.4–6.2%</t>
  </si>
  <si>
    <t>4.8–5.6%</t>
  </si>
  <si>
    <t>4.7–5.8%</t>
  </si>
  <si>
    <t>4.4–5.6%</t>
  </si>
  <si>
    <t>Avg Days on Market</t>
  </si>
  <si>
    <t>61 days</t>
  </si>
  <si>
    <t>66 days</t>
  </si>
  <si>
    <t>18 days</t>
  </si>
  <si>
    <t>Market Trend</t>
  </si>
  <si>
    <t>Stable ↔</t>
  </si>
  <si>
    <t>Cautious ↓</t>
  </si>
  <si>
    <t>Strong ↑</t>
  </si>
  <si>
    <t>Mixed</t>
  </si>
  <si>
    <t>Key Driver</t>
  </si>
  <si>
    <t>Occupancy</t>
  </si>
  <si>
    <t>Anchor tenants</t>
  </si>
  <si>
    <t>E-commerce</t>
  </si>
  <si>
    <t>Interest rates</t>
  </si>
  <si>
    <t>SUBJECT PROPERTY BENCHMARKING — BRUNSWICK HEIGHTS DEVELOPMENT (Project 2)</t>
  </si>
  <si>
    <t>Subject Property</t>
  </si>
  <si>
    <t>Brunswick Heights (6 units)</t>
  </si>
  <si>
    <t>Residential / Townhouse</t>
  </si>
  <si>
    <t>Total GLA (sqm)</t>
  </si>
  <si>
    <t>2,100 sqm (350sqm × 6)</t>
  </si>
  <si>
    <t>Target Sale Price</t>
  </si>
  <si>
    <t>$600,000/unit</t>
  </si>
  <si>
    <t>$3.6M total GDV</t>
  </si>
  <si>
    <t>Implied Price/sqm</t>
  </si>
  <si>
    <t>$1,714/sqm</t>
  </si>
  <si>
    <t>Above Brunswick median $1,520/sqm — achievable Q1 2025</t>
  </si>
  <si>
    <t>Implied Cap Rate (rental)</t>
  </si>
  <si>
    <t>5.3%</t>
  </si>
  <si>
    <t>Aligns with Southbank 5.2% and industrial 5.4–5.8% range</t>
  </si>
  <si>
    <t>Comp Benchmark Verdict</t>
  </si>
  <si>
    <t>Sale price within 10% of comp-derived market value</t>
  </si>
  <si>
    <t>Asset Class</t>
  </si>
  <si>
    <t>Avg Yield (%)</t>
  </si>
  <si>
    <t>CBD Office</t>
  </si>
  <si>
    <t>Subject</t>
  </si>
  <si>
    <t>NOTE: All financial projections are based on publicly available market data and modelled assumptions.</t>
  </si>
  <si>
    <t>PRICING IS SUPPORTABLE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</si>
</sst>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\$#,##0;&quot;($&quot;#,##0\);\-"/>
    <numFmt numFmtId="166" formatCode="\$#,##0"/>
    <numFmt numFmtId="167" formatCode="0.0%;\(0.0%\);\-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rgb="FFFF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D6E4F7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AD9"/>
      </patternFill>
    </fill>
    <fill>
      <patternFill patternType="solid">
        <fgColor rgb="FFFFDAD9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AD1FF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theme="2" tint="-0.249977111117893"/>
        <bgColor rgb="FF333399"/>
      </patternFill>
    </fill>
    <fill>
      <patternFill patternType="solid">
        <fgColor theme="2" tint="-0.89999084444715716"/>
        <bgColor rgb="FF333399"/>
      </patternFill>
    </fill>
    <fill>
      <patternFill patternType="solid">
        <fgColor theme="2" tint="-0.249977111117893"/>
        <bgColor rgb="FF1F6B75"/>
      </patternFill>
    </fill>
    <fill>
      <patternFill patternType="solid">
        <fgColor theme="2" tint="-0.89999084444715716"/>
        <bgColor rgb="FF1F6B75"/>
      </patternFill>
    </fill>
    <fill>
      <patternFill patternType="solid">
        <fgColor theme="2" tint="-0.89999084444715716"/>
        <bgColor rgb="FF595959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 indent="1"/>
    </xf>
    <xf numFmtId="0" fontId="7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indent="2"/>
    </xf>
    <xf numFmtId="0" fontId="8" fillId="3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2"/>
    </xf>
    <xf numFmtId="0" fontId="4" fillId="11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166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3" borderId="1" xfId="0" applyFill="1" applyBorder="1"/>
    <xf numFmtId="167" fontId="0" fillId="3" borderId="1" xfId="0" applyNumberFormat="1" applyFill="1" applyBorder="1"/>
    <xf numFmtId="0" fontId="0" fillId="11" borderId="1" xfId="0" applyFill="1" applyBorder="1"/>
    <xf numFmtId="167" fontId="0" fillId="11" borderId="1" xfId="0" applyNumberFormat="1" applyFill="1" applyBorder="1"/>
    <xf numFmtId="0" fontId="1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left" vertical="center" indent="1"/>
    </xf>
    <xf numFmtId="0" fontId="2" fillId="2" borderId="3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 indent="1"/>
    </xf>
    <xf numFmtId="0" fontId="9" fillId="14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indent="1"/>
    </xf>
    <xf numFmtId="49" fontId="4" fillId="4" borderId="2" xfId="0" applyNumberFormat="1" applyFont="1" applyFill="1" applyBorder="1" applyAlignment="1">
      <alignment horizontal="center" vertical="center"/>
    </xf>
    <xf numFmtId="17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left" vertical="center" wrapText="1" indent="1"/>
    </xf>
    <xf numFmtId="49" fontId="3" fillId="5" borderId="3" xfId="0" applyNumberFormat="1" applyFont="1" applyFill="1" applyBorder="1" applyAlignment="1">
      <alignment horizontal="left" vertical="center" wrapText="1" indent="1"/>
    </xf>
    <xf numFmtId="49" fontId="3" fillId="7" borderId="3" xfId="0" applyNumberFormat="1" applyFont="1" applyFill="1" applyBorder="1" applyAlignment="1">
      <alignment horizontal="left" vertical="center" wrapText="1" indent="1"/>
    </xf>
    <xf numFmtId="49" fontId="3" fillId="10" borderId="3" xfId="0" applyNumberFormat="1" applyFont="1" applyFill="1" applyBorder="1" applyAlignment="1">
      <alignment horizontal="left" vertical="center" wrapText="1" indent="1"/>
    </xf>
    <xf numFmtId="3" fontId="3" fillId="6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center" vertical="center"/>
    </xf>
    <xf numFmtId="17" fontId="3" fillId="6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6" fontId="4" fillId="6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7" fontId="4" fillId="6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left" vertical="center" indent="1"/>
    </xf>
    <xf numFmtId="49" fontId="4" fillId="5" borderId="2" xfId="0" applyNumberFormat="1" applyFont="1" applyFill="1" applyBorder="1" applyAlignment="1">
      <alignment horizontal="center" vertical="center"/>
    </xf>
    <xf numFmtId="17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7" fontId="4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left" vertical="center" indent="1"/>
    </xf>
    <xf numFmtId="49" fontId="4" fillId="7" borderId="2" xfId="0" applyNumberFormat="1" applyFont="1" applyFill="1" applyBorder="1" applyAlignment="1">
      <alignment horizontal="center" vertical="center"/>
    </xf>
    <xf numFmtId="17" fontId="3" fillId="7" borderId="2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167" fontId="4" fillId="8" borderId="2" xfId="0" applyNumberFormat="1" applyFont="1" applyFill="1" applyBorder="1" applyAlignment="1">
      <alignment horizontal="center" vertical="center"/>
    </xf>
    <xf numFmtId="3" fontId="3" fillId="8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165" fontId="4" fillId="9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left" vertical="center" wrapText="1" indent="1"/>
    </xf>
    <xf numFmtId="49" fontId="3" fillId="10" borderId="2" xfId="0" applyNumberFormat="1" applyFont="1" applyFill="1" applyBorder="1" applyAlignment="1">
      <alignment horizontal="left" vertical="center" indent="1"/>
    </xf>
    <xf numFmtId="49" fontId="4" fillId="10" borderId="2" xfId="0" applyNumberFormat="1" applyFont="1" applyFill="1" applyBorder="1" applyAlignment="1">
      <alignment horizontal="center" vertical="center"/>
    </xf>
    <xf numFmtId="17" fontId="3" fillId="10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165" fontId="4" fillId="10" borderId="2" xfId="0" applyNumberFormat="1" applyFont="1" applyFill="1" applyBorder="1" applyAlignment="1">
      <alignment horizontal="center" vertical="center"/>
    </xf>
    <xf numFmtId="166" fontId="4" fillId="10" borderId="2" xfId="0" applyNumberFormat="1" applyFont="1" applyFill="1" applyBorder="1" applyAlignment="1">
      <alignment horizontal="center" vertical="center"/>
    </xf>
    <xf numFmtId="165" fontId="3" fillId="10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left" vertical="center" inden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BBBBB"/>
      <rgbColor rgb="FF878787"/>
      <rgbColor rgb="FF9999FF"/>
      <rgbColor rgb="FF993366"/>
      <rgbColor rgb="FFFFF2CC"/>
      <rgbColor rgb="FFD6E4F7"/>
      <rgbColor rgb="FF660066"/>
      <rgbColor rgb="FFFF8080"/>
      <rgbColor rgb="FF2E5FA3"/>
      <rgbColor rgb="FFEAD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D9D9"/>
      <rgbColor rgb="FFF9F9F9"/>
      <rgbColor rgb="FFCC99FF"/>
      <rgbColor rgb="FFFFDAD9"/>
      <rgbColor rgb="FF4F81BD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Yield by Asset Class vs. Subject Property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Comparable_Sales!$C$35</c:f>
              <c:strCache>
                <c:ptCount val="1"/>
                <c:pt idx="0">
                  <c:v>Avg Yield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5FA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E72-424C-B7E2-9A071E534272}"/>
              </c:ext>
            </c:extLst>
          </c:dPt>
          <c:dPt>
            <c:idx val="1"/>
            <c:invertIfNegative val="0"/>
            <c:bubble3D val="0"/>
            <c:spPr>
              <a:solidFill>
                <a:srgbClr val="C55A1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E72-424C-B7E2-9A071E534272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E72-424C-B7E2-9A071E534272}"/>
              </c:ext>
            </c:extLst>
          </c:dPt>
          <c:dPt>
            <c:idx val="3"/>
            <c:invertIfNegative val="0"/>
            <c:bubble3D val="0"/>
            <c:spPr>
              <a:solidFill>
                <a:srgbClr val="1F6B7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E72-424C-B7E2-9A071E534272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0E72-424C-B7E2-9A071E53427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E72-424C-B7E2-9A071E53427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E72-424C-B7E2-9A071E53427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E72-424C-B7E2-9A071E53427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E72-424C-B7E2-9A071E53427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E72-424C-B7E2-9A071E534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Comparable_Sales!$B$36:$B$40</c:f>
              <c:strCache>
                <c:ptCount val="5"/>
                <c:pt idx="0">
                  <c:v>CBD Office</c:v>
                </c:pt>
                <c:pt idx="1">
                  <c:v>Retail</c:v>
                </c:pt>
                <c:pt idx="2">
                  <c:v>Industrial</c:v>
                </c:pt>
                <c:pt idx="3">
                  <c:v>Creative Office</c:v>
                </c:pt>
                <c:pt idx="4">
                  <c:v>Subject</c:v>
                </c:pt>
              </c:strCache>
            </c:strRef>
          </c:cat>
          <c:val>
            <c:numRef>
              <c:f>Comparable_Sales!$C$36:$C$40</c:f>
              <c:numCache>
                <c:formatCode>0.0%;\(0.0%\);\-</c:formatCode>
                <c:ptCount val="5"/>
                <c:pt idx="0">
                  <c:v>5.1999999999999998E-2</c:v>
                </c:pt>
                <c:pt idx="1">
                  <c:v>5.7000000000000002E-2</c:v>
                </c:pt>
                <c:pt idx="2">
                  <c:v>5.3999999999999999E-2</c:v>
                </c:pt>
                <c:pt idx="3">
                  <c:v>4.3999999999999997E-2</c:v>
                </c:pt>
                <c:pt idx="4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72-424C-B7E2-9A071E534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5246"/>
        <c:axId val="81763307"/>
      </c:barChart>
      <c:catAx>
        <c:axId val="38952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Asset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763307"/>
        <c:crosses val="autoZero"/>
        <c:auto val="1"/>
        <c:lblAlgn val="ctr"/>
        <c:lblOffset val="100"/>
        <c:noMultiLvlLbl val="0"/>
      </c:catAx>
      <c:valAx>
        <c:axId val="81763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Yield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52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41</xdr:row>
      <xdr:rowOff>76200</xdr:rowOff>
    </xdr:from>
    <xdr:to>
      <xdr:col>5</xdr:col>
      <xdr:colOff>951800</xdr:colOff>
      <xdr:row>63</xdr:row>
      <xdr:rowOff>173180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B75"/>
  </sheetPr>
  <dimension ref="B1:O69"/>
  <sheetViews>
    <sheetView showGridLines="0" tabSelected="1" topLeftCell="B22" zoomScaleNormal="100" workbookViewId="0">
      <selection activeCell="F37" sqref="F37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4" width="14" customWidth="1"/>
    <col min="5" max="5" width="27.5" customWidth="1"/>
    <col min="6" max="6" width="18.5" customWidth="1"/>
    <col min="7" max="8" width="11" customWidth="1"/>
    <col min="9" max="9" width="12" customWidth="1"/>
    <col min="10" max="11" width="11" customWidth="1"/>
    <col min="12" max="12" width="12" customWidth="1"/>
    <col min="13" max="13" width="14" customWidth="1"/>
    <col min="14" max="14" width="22" customWidth="1"/>
    <col min="15" max="15" width="65.1640625" customWidth="1"/>
  </cols>
  <sheetData>
    <row r="1" spans="2:15" ht="31.5" customHeight="1" x14ac:dyDescent="0.2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2:15" ht="15" customHeight="1" x14ac:dyDescent="0.2"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2:15" ht="22" customHeight="1" x14ac:dyDescent="0.2"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7" t="s">
        <v>7</v>
      </c>
      <c r="H3" s="27" t="s">
        <v>8</v>
      </c>
      <c r="I3" s="27" t="s">
        <v>9</v>
      </c>
      <c r="J3" s="27" t="s">
        <v>10</v>
      </c>
      <c r="K3" s="27" t="s">
        <v>11</v>
      </c>
      <c r="L3" s="27" t="s">
        <v>12</v>
      </c>
      <c r="M3" s="27" t="s">
        <v>13</v>
      </c>
      <c r="N3" s="27" t="s">
        <v>14</v>
      </c>
      <c r="O3" s="24" t="s">
        <v>15</v>
      </c>
    </row>
    <row r="4" spans="2:15" ht="22" customHeight="1" x14ac:dyDescent="0.2">
      <c r="B4" s="28">
        <v>1</v>
      </c>
      <c r="C4" s="29" t="s">
        <v>16</v>
      </c>
      <c r="D4" s="29" t="s">
        <v>17</v>
      </c>
      <c r="E4" s="30" t="s">
        <v>18</v>
      </c>
      <c r="F4" s="31">
        <v>45366</v>
      </c>
      <c r="G4" s="32" t="s">
        <v>19</v>
      </c>
      <c r="H4" s="32">
        <v>4200</v>
      </c>
      <c r="I4" s="33">
        <v>38500000</v>
      </c>
      <c r="J4" s="34">
        <v>9166.6666666666697</v>
      </c>
      <c r="K4" s="35">
        <v>2002000</v>
      </c>
      <c r="L4" s="36">
        <v>5.1999999999999998E-2</v>
      </c>
      <c r="M4" s="37">
        <v>45</v>
      </c>
      <c r="N4" s="38" t="s">
        <v>20</v>
      </c>
      <c r="O4" s="25" t="s">
        <v>21</v>
      </c>
    </row>
    <row r="5" spans="2:15" ht="22" customHeight="1" x14ac:dyDescent="0.2">
      <c r="B5" s="28">
        <v>2</v>
      </c>
      <c r="C5" s="29" t="s">
        <v>22</v>
      </c>
      <c r="D5" s="29" t="s">
        <v>23</v>
      </c>
      <c r="E5" s="30" t="s">
        <v>24</v>
      </c>
      <c r="F5" s="31">
        <v>45463</v>
      </c>
      <c r="G5" s="32" t="s">
        <v>19</v>
      </c>
      <c r="H5" s="32">
        <v>2100</v>
      </c>
      <c r="I5" s="33">
        <v>18750000</v>
      </c>
      <c r="J5" s="34">
        <v>8928.5714285714294</v>
      </c>
      <c r="K5" s="35">
        <v>994500</v>
      </c>
      <c r="L5" s="36">
        <v>5.3039999999999997E-2</v>
      </c>
      <c r="M5" s="43">
        <v>62</v>
      </c>
      <c r="N5" s="38" t="s">
        <v>25</v>
      </c>
      <c r="O5" s="25" t="s">
        <v>26</v>
      </c>
    </row>
    <row r="6" spans="2:15" ht="22" customHeight="1" x14ac:dyDescent="0.2">
      <c r="B6" s="28">
        <v>3</v>
      </c>
      <c r="C6" s="44" t="s">
        <v>27</v>
      </c>
      <c r="D6" s="44" t="s">
        <v>28</v>
      </c>
      <c r="E6" s="45" t="s">
        <v>29</v>
      </c>
      <c r="F6" s="46">
        <v>45420</v>
      </c>
      <c r="G6" s="47" t="s">
        <v>19</v>
      </c>
      <c r="H6" s="47">
        <v>3800</v>
      </c>
      <c r="I6" s="48">
        <v>22000000</v>
      </c>
      <c r="J6" s="49">
        <v>5789.4736842105303</v>
      </c>
      <c r="K6" s="50">
        <v>1254000</v>
      </c>
      <c r="L6" s="51">
        <v>5.7000000000000002E-2</v>
      </c>
      <c r="M6" s="37">
        <v>38</v>
      </c>
      <c r="N6" s="52" t="s">
        <v>30</v>
      </c>
      <c r="O6" s="39" t="s">
        <v>31</v>
      </c>
    </row>
    <row r="7" spans="2:15" ht="22" customHeight="1" x14ac:dyDescent="0.2">
      <c r="B7" s="28">
        <v>4</v>
      </c>
      <c r="C7" s="53" t="s">
        <v>32</v>
      </c>
      <c r="D7" s="53" t="s">
        <v>33</v>
      </c>
      <c r="E7" s="54" t="s">
        <v>34</v>
      </c>
      <c r="F7" s="55">
        <v>45518</v>
      </c>
      <c r="G7" s="56">
        <v>8500</v>
      </c>
      <c r="H7" s="56">
        <v>6200</v>
      </c>
      <c r="I7" s="57">
        <v>18600000</v>
      </c>
      <c r="J7" s="58">
        <v>3000</v>
      </c>
      <c r="K7" s="59">
        <v>1023000</v>
      </c>
      <c r="L7" s="60">
        <v>5.5E-2</v>
      </c>
      <c r="M7" s="37">
        <v>22</v>
      </c>
      <c r="N7" s="61" t="s">
        <v>35</v>
      </c>
      <c r="O7" s="40" t="s">
        <v>36</v>
      </c>
    </row>
    <row r="8" spans="2:15" ht="22" customHeight="1" x14ac:dyDescent="0.2">
      <c r="B8" s="28">
        <v>5</v>
      </c>
      <c r="C8" s="53" t="s">
        <v>37</v>
      </c>
      <c r="D8" s="53" t="s">
        <v>38</v>
      </c>
      <c r="E8" s="54" t="s">
        <v>39</v>
      </c>
      <c r="F8" s="55">
        <v>45538</v>
      </c>
      <c r="G8" s="56">
        <v>5200</v>
      </c>
      <c r="H8" s="56">
        <v>4100</v>
      </c>
      <c r="I8" s="57">
        <v>11890000</v>
      </c>
      <c r="J8" s="58">
        <v>2900</v>
      </c>
      <c r="K8" s="59">
        <v>600280</v>
      </c>
      <c r="L8" s="60">
        <v>5.0486122792262403E-2</v>
      </c>
      <c r="M8" s="37">
        <v>18</v>
      </c>
      <c r="N8" s="61" t="s">
        <v>40</v>
      </c>
      <c r="O8" s="40" t="s">
        <v>41</v>
      </c>
    </row>
    <row r="9" spans="2:15" ht="22" customHeight="1" x14ac:dyDescent="0.2">
      <c r="B9" s="28">
        <v>6</v>
      </c>
      <c r="C9" s="62" t="s">
        <v>42</v>
      </c>
      <c r="D9" s="62" t="s">
        <v>43</v>
      </c>
      <c r="E9" s="63" t="s">
        <v>44</v>
      </c>
      <c r="F9" s="64">
        <v>45618</v>
      </c>
      <c r="G9" s="65" t="s">
        <v>19</v>
      </c>
      <c r="H9" s="65">
        <v>1850</v>
      </c>
      <c r="I9" s="66">
        <v>11200000</v>
      </c>
      <c r="J9" s="67">
        <v>6054.0540540540496</v>
      </c>
      <c r="K9" s="68">
        <v>548800</v>
      </c>
      <c r="L9" s="69">
        <v>4.9000000000000002E-2</v>
      </c>
      <c r="M9" s="70">
        <v>95</v>
      </c>
      <c r="N9" s="71" t="s">
        <v>35</v>
      </c>
      <c r="O9" s="41" t="s">
        <v>45</v>
      </c>
    </row>
    <row r="10" spans="2:15" ht="22" customHeight="1" x14ac:dyDescent="0.2">
      <c r="B10" s="28">
        <v>7</v>
      </c>
      <c r="C10" s="44" t="s">
        <v>46</v>
      </c>
      <c r="D10" s="44" t="s">
        <v>47</v>
      </c>
      <c r="E10" s="45" t="s">
        <v>48</v>
      </c>
      <c r="F10" s="46">
        <v>45570</v>
      </c>
      <c r="G10" s="47" t="s">
        <v>19</v>
      </c>
      <c r="H10" s="47">
        <v>480</v>
      </c>
      <c r="I10" s="48">
        <v>4250000</v>
      </c>
      <c r="J10" s="49">
        <v>8854.1666666666697</v>
      </c>
      <c r="K10" s="50">
        <v>204000</v>
      </c>
      <c r="L10" s="69">
        <v>4.8000000000000001E-2</v>
      </c>
      <c r="M10" s="43">
        <v>55</v>
      </c>
      <c r="N10" s="52" t="s">
        <v>35</v>
      </c>
      <c r="O10" s="39" t="s">
        <v>49</v>
      </c>
    </row>
    <row r="11" spans="2:15" ht="22" customHeight="1" x14ac:dyDescent="0.2">
      <c r="B11" s="28">
        <v>8</v>
      </c>
      <c r="C11" s="53" t="s">
        <v>50</v>
      </c>
      <c r="D11" s="53" t="s">
        <v>51</v>
      </c>
      <c r="E11" s="54" t="s">
        <v>52</v>
      </c>
      <c r="F11" s="55">
        <v>45674</v>
      </c>
      <c r="G11" s="56">
        <v>12000</v>
      </c>
      <c r="H11" s="56">
        <v>9800</v>
      </c>
      <c r="I11" s="72">
        <v>35200000</v>
      </c>
      <c r="J11" s="58">
        <v>3591.8367346938799</v>
      </c>
      <c r="K11" s="59">
        <v>1760000</v>
      </c>
      <c r="L11" s="60">
        <v>0.05</v>
      </c>
      <c r="M11" s="37">
        <v>14</v>
      </c>
      <c r="N11" s="61" t="s">
        <v>53</v>
      </c>
      <c r="O11" s="40" t="s">
        <v>54</v>
      </c>
    </row>
    <row r="12" spans="2:15" ht="22" customHeight="1" x14ac:dyDescent="0.2">
      <c r="B12" s="28">
        <v>9</v>
      </c>
      <c r="C12" s="73" t="s">
        <v>55</v>
      </c>
      <c r="D12" s="44" t="s">
        <v>56</v>
      </c>
      <c r="E12" s="45" t="s">
        <v>57</v>
      </c>
      <c r="F12" s="46">
        <v>45716</v>
      </c>
      <c r="G12" s="47" t="s">
        <v>19</v>
      </c>
      <c r="H12" s="47">
        <v>7200</v>
      </c>
      <c r="I12" s="72">
        <v>48500000</v>
      </c>
      <c r="J12" s="49">
        <v>6736.1111111111104</v>
      </c>
      <c r="K12" s="50">
        <v>2716000</v>
      </c>
      <c r="L12" s="51">
        <v>5.6000000000000001E-2</v>
      </c>
      <c r="M12" s="70">
        <v>105</v>
      </c>
      <c r="N12" s="52" t="s">
        <v>58</v>
      </c>
      <c r="O12" s="39" t="s">
        <v>59</v>
      </c>
    </row>
    <row r="13" spans="2:15" ht="22" customHeight="1" x14ac:dyDescent="0.2">
      <c r="B13" s="28">
        <v>10</v>
      </c>
      <c r="C13" s="74" t="s">
        <v>60</v>
      </c>
      <c r="D13" s="74" t="s">
        <v>61</v>
      </c>
      <c r="E13" s="75" t="s">
        <v>62</v>
      </c>
      <c r="F13" s="76">
        <v>45726</v>
      </c>
      <c r="G13" s="77" t="s">
        <v>19</v>
      </c>
      <c r="H13" s="77">
        <v>920</v>
      </c>
      <c r="I13" s="78">
        <v>8100000</v>
      </c>
      <c r="J13" s="79">
        <v>8804.3478260869597</v>
      </c>
      <c r="K13" s="80">
        <v>356400</v>
      </c>
      <c r="L13" s="69">
        <v>4.3999999999999997E-2</v>
      </c>
      <c r="M13" s="37">
        <v>41</v>
      </c>
      <c r="N13" s="81" t="s">
        <v>35</v>
      </c>
      <c r="O13" s="42" t="s">
        <v>63</v>
      </c>
    </row>
    <row r="15" spans="2:15" ht="15.75" customHeight="1" x14ac:dyDescent="0.2">
      <c r="B15" s="23" t="s">
        <v>64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2:15" ht="15.75" customHeight="1" x14ac:dyDescent="0.2">
      <c r="B16" s="82" t="s">
        <v>65</v>
      </c>
      <c r="C16" s="82" t="s">
        <v>66</v>
      </c>
      <c r="D16" s="82" t="s">
        <v>67</v>
      </c>
      <c r="E16" s="82" t="s">
        <v>39</v>
      </c>
      <c r="F16" s="82" t="s">
        <v>68</v>
      </c>
    </row>
    <row r="17" spans="2:14" ht="15" customHeight="1" x14ac:dyDescent="0.2">
      <c r="B17" s="9" t="s">
        <v>69</v>
      </c>
      <c r="C17" s="10" t="s">
        <v>70</v>
      </c>
      <c r="D17" s="10" t="s">
        <v>71</v>
      </c>
      <c r="E17" s="10" t="s">
        <v>72</v>
      </c>
      <c r="F17" s="10">
        <f>AVERAGE(I4:I13)</f>
        <v>21699000</v>
      </c>
    </row>
    <row r="18" spans="2:14" ht="15" customHeight="1" x14ac:dyDescent="0.2">
      <c r="B18" s="11" t="s">
        <v>73</v>
      </c>
      <c r="C18" s="10" t="s">
        <v>74</v>
      </c>
      <c r="D18" s="10" t="s">
        <v>75</v>
      </c>
      <c r="E18" s="10" t="s">
        <v>76</v>
      </c>
      <c r="F18" s="12">
        <f>AVERAGE(J4:J13)</f>
        <v>6382.5228172061306</v>
      </c>
    </row>
    <row r="19" spans="2:14" ht="15" customHeight="1" x14ac:dyDescent="0.2">
      <c r="B19" s="9" t="s">
        <v>77</v>
      </c>
      <c r="C19" s="13" t="s">
        <v>78</v>
      </c>
      <c r="D19" s="13" t="s">
        <v>79</v>
      </c>
      <c r="E19" s="13" t="s">
        <v>80</v>
      </c>
      <c r="F19" s="13">
        <f>AVERAGE(L4:L13)</f>
        <v>5.1452612279226241E-2</v>
      </c>
    </row>
    <row r="20" spans="2:14" ht="15" customHeight="1" x14ac:dyDescent="0.2">
      <c r="B20" s="11" t="s">
        <v>81</v>
      </c>
      <c r="C20" s="14" t="s">
        <v>82</v>
      </c>
      <c r="D20" s="14" t="s">
        <v>83</v>
      </c>
      <c r="E20" s="14" t="s">
        <v>84</v>
      </c>
      <c r="F20" s="14" t="s">
        <v>85</v>
      </c>
    </row>
    <row r="21" spans="2:14" ht="15" customHeight="1" x14ac:dyDescent="0.2">
      <c r="B21" s="9" t="s">
        <v>86</v>
      </c>
      <c r="C21" s="15" t="s">
        <v>87</v>
      </c>
      <c r="D21" s="15" t="s">
        <v>88</v>
      </c>
      <c r="E21" s="15" t="s">
        <v>89</v>
      </c>
      <c r="F21" s="15" t="str">
        <f>AVERAGE(M4:M13)&amp;" days"</f>
        <v>49.5 days</v>
      </c>
    </row>
    <row r="22" spans="2:14" ht="15" customHeight="1" x14ac:dyDescent="0.2">
      <c r="B22" s="11" t="s">
        <v>90</v>
      </c>
      <c r="C22" s="16" t="s">
        <v>91</v>
      </c>
      <c r="D22" s="16" t="s">
        <v>92</v>
      </c>
      <c r="E22" s="16" t="s">
        <v>93</v>
      </c>
      <c r="F22" s="16" t="s">
        <v>94</v>
      </c>
    </row>
    <row r="23" spans="2:14" ht="15" customHeight="1" x14ac:dyDescent="0.2">
      <c r="B23" s="9" t="s">
        <v>95</v>
      </c>
      <c r="C23" s="16" t="s">
        <v>96</v>
      </c>
      <c r="D23" s="16" t="s">
        <v>97</v>
      </c>
      <c r="E23" s="16" t="s">
        <v>98</v>
      </c>
      <c r="F23" s="16" t="s">
        <v>99</v>
      </c>
    </row>
    <row r="25" spans="2:14" ht="15.75" customHeight="1" x14ac:dyDescent="0.2">
      <c r="B25" s="83" t="s">
        <v>100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2:14" ht="15" customHeight="1" x14ac:dyDescent="0.2">
      <c r="B26" s="8" t="s">
        <v>101</v>
      </c>
      <c r="C26" s="8"/>
      <c r="D26" s="7" t="s">
        <v>102</v>
      </c>
      <c r="E26" s="7"/>
      <c r="F26" s="7"/>
      <c r="G26" s="7"/>
      <c r="H26" s="6"/>
      <c r="I26" s="6"/>
      <c r="J26" s="6"/>
      <c r="K26" s="6"/>
      <c r="L26" s="6"/>
      <c r="M26" s="6"/>
      <c r="N26" s="6"/>
    </row>
    <row r="27" spans="2:14" ht="15" customHeight="1" x14ac:dyDescent="0.2">
      <c r="B27" s="5" t="s">
        <v>5</v>
      </c>
      <c r="C27" s="5"/>
      <c r="D27" s="4" t="s">
        <v>103</v>
      </c>
      <c r="E27" s="4"/>
      <c r="F27" s="4"/>
      <c r="G27" s="4"/>
      <c r="H27" s="3"/>
      <c r="I27" s="3"/>
      <c r="J27" s="3"/>
      <c r="K27" s="3"/>
      <c r="L27" s="3"/>
      <c r="M27" s="3"/>
      <c r="N27" s="3"/>
    </row>
    <row r="28" spans="2:14" ht="15" customHeight="1" x14ac:dyDescent="0.2">
      <c r="B28" s="8" t="s">
        <v>104</v>
      </c>
      <c r="C28" s="8"/>
      <c r="D28" s="7" t="s">
        <v>105</v>
      </c>
      <c r="E28" s="7"/>
      <c r="F28" s="7"/>
      <c r="G28" s="7"/>
      <c r="H28" s="6"/>
      <c r="I28" s="6"/>
      <c r="J28" s="6"/>
      <c r="K28" s="6"/>
      <c r="L28" s="6"/>
      <c r="M28" s="6"/>
      <c r="N28" s="6"/>
    </row>
    <row r="29" spans="2:14" ht="15" customHeight="1" x14ac:dyDescent="0.2">
      <c r="B29" s="5" t="s">
        <v>106</v>
      </c>
      <c r="C29" s="5"/>
      <c r="D29" s="2" t="s">
        <v>107</v>
      </c>
      <c r="E29" s="2"/>
      <c r="F29" s="2"/>
      <c r="G29" s="2"/>
      <c r="H29" s="3" t="s">
        <v>108</v>
      </c>
      <c r="I29" s="3"/>
      <c r="J29" s="3"/>
      <c r="K29" s="3"/>
      <c r="L29" s="3"/>
      <c r="M29" s="3"/>
      <c r="N29" s="3"/>
    </row>
    <row r="30" spans="2:14" ht="15" customHeight="1" x14ac:dyDescent="0.2">
      <c r="B30" s="8" t="s">
        <v>109</v>
      </c>
      <c r="C30" s="8"/>
      <c r="D30" s="2" t="s">
        <v>110</v>
      </c>
      <c r="E30" s="2"/>
      <c r="F30" s="2"/>
      <c r="G30" s="2"/>
      <c r="H30" s="6" t="s">
        <v>111</v>
      </c>
      <c r="I30" s="6"/>
      <c r="J30" s="6"/>
      <c r="K30" s="6"/>
      <c r="L30" s="6"/>
      <c r="M30" s="6"/>
      <c r="N30" s="6"/>
    </row>
    <row r="31" spans="2:14" ht="15" customHeight="1" x14ac:dyDescent="0.2">
      <c r="B31" s="5" t="s">
        <v>112</v>
      </c>
      <c r="C31" s="5"/>
      <c r="D31" s="4" t="s">
        <v>113</v>
      </c>
      <c r="E31" s="4"/>
      <c r="F31" s="4"/>
      <c r="G31" s="4"/>
      <c r="H31" s="3" t="s">
        <v>114</v>
      </c>
      <c r="I31" s="3"/>
      <c r="J31" s="3"/>
      <c r="K31" s="3"/>
      <c r="L31" s="3"/>
      <c r="M31" s="3"/>
      <c r="N31" s="3"/>
    </row>
    <row r="32" spans="2:14" ht="15" customHeight="1" x14ac:dyDescent="0.2">
      <c r="B32" s="8" t="s">
        <v>115</v>
      </c>
      <c r="C32" s="8"/>
      <c r="D32" s="1" t="s">
        <v>122</v>
      </c>
      <c r="E32" s="1"/>
      <c r="F32" s="1"/>
      <c r="G32" s="1"/>
      <c r="H32" s="6" t="s">
        <v>116</v>
      </c>
      <c r="I32" s="6"/>
      <c r="J32" s="6"/>
      <c r="K32" s="6"/>
      <c r="L32" s="6"/>
      <c r="M32" s="6"/>
      <c r="N32" s="6"/>
    </row>
    <row r="35" spans="2:3" x14ac:dyDescent="0.2">
      <c r="B35" s="17" t="s">
        <v>117</v>
      </c>
      <c r="C35" s="17" t="s">
        <v>118</v>
      </c>
    </row>
    <row r="36" spans="2:3" ht="13.5" customHeight="1" x14ac:dyDescent="0.2">
      <c r="B36" s="18" t="s">
        <v>119</v>
      </c>
      <c r="C36" s="19">
        <v>5.1999999999999998E-2</v>
      </c>
    </row>
    <row r="37" spans="2:3" ht="13.5" customHeight="1" x14ac:dyDescent="0.2">
      <c r="B37" s="20" t="s">
        <v>67</v>
      </c>
      <c r="C37" s="21">
        <v>5.7000000000000002E-2</v>
      </c>
    </row>
    <row r="38" spans="2:3" ht="13.5" customHeight="1" x14ac:dyDescent="0.2">
      <c r="B38" s="18" t="s">
        <v>39</v>
      </c>
      <c r="C38" s="19">
        <v>5.3999999999999999E-2</v>
      </c>
    </row>
    <row r="39" spans="2:3" ht="13.5" customHeight="1" x14ac:dyDescent="0.2">
      <c r="B39" s="20" t="s">
        <v>62</v>
      </c>
      <c r="C39" s="21">
        <v>4.3999999999999997E-2</v>
      </c>
    </row>
    <row r="40" spans="2:3" ht="13.5" customHeight="1" x14ac:dyDescent="0.2">
      <c r="B40" s="18" t="s">
        <v>120</v>
      </c>
      <c r="C40" s="19">
        <v>5.2999999999999999E-2</v>
      </c>
    </row>
    <row r="69" spans="2:2" x14ac:dyDescent="0.2">
      <c r="B69" s="84" t="s">
        <v>121</v>
      </c>
    </row>
  </sheetData>
  <mergeCells count="25">
    <mergeCell ref="B31:C31"/>
    <mergeCell ref="D31:G31"/>
    <mergeCell ref="H31:N31"/>
    <mergeCell ref="B32:C32"/>
    <mergeCell ref="D32:G32"/>
    <mergeCell ref="H32:N32"/>
    <mergeCell ref="B29:C29"/>
    <mergeCell ref="D29:G29"/>
    <mergeCell ref="H29:N29"/>
    <mergeCell ref="B30:C30"/>
    <mergeCell ref="D30:G30"/>
    <mergeCell ref="H30:N30"/>
    <mergeCell ref="B27:C27"/>
    <mergeCell ref="D27:G27"/>
    <mergeCell ref="H27:N27"/>
    <mergeCell ref="B28:C28"/>
    <mergeCell ref="D28:G28"/>
    <mergeCell ref="H28:N28"/>
    <mergeCell ref="B1:N1"/>
    <mergeCell ref="B2:N2"/>
    <mergeCell ref="B15:N15"/>
    <mergeCell ref="B25:N25"/>
    <mergeCell ref="B26:C26"/>
    <mergeCell ref="D26:G26"/>
    <mergeCell ref="H26:N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Comparable_Sales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gokul baskar</cp:lastModifiedBy>
  <cp:revision>1</cp:revision>
  <dcterms:created xsi:type="dcterms:W3CDTF">2026-03-23T12:52:55Z</dcterms:created>
  <dcterms:modified xsi:type="dcterms:W3CDTF">2026-03-23T13:12:48Z</dcterms:modified>
  <dc:language>en-US</dc:language>
</cp:coreProperties>
</file>