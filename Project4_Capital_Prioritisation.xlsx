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gokul/Downloads/"/>
    </mc:Choice>
  </mc:AlternateContent>
  <xr:revisionPtr revIDLastSave="0" documentId="13_ncr:1_{A6F7472B-BFD5-DC4B-862E-F510C7B6EEAE}" xr6:coauthVersionLast="47" xr6:coauthVersionMax="47" xr10:uidLastSave="{00000000-0000-0000-0000-000000000000}"/>
  <bookViews>
    <workbookView xWindow="28800" yWindow="0" windowWidth="38400" windowHeight="21600" tabRatio="500" xr2:uid="{00000000-000D-0000-FFFF-FFFF00000000}"/>
  </bookViews>
  <sheets>
    <sheet name="Capital_Prioritisation" sheetId="1" r:id="rId1"/>
    <sheet name="Scoring_Methodology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<sst xmlns="http://schemas.openxmlformats.org/spreadsheetml/2006/main" count="97" uniqueCount="83">
  <si>
    <t>CAPITAL PRIORITISATION MODEL — PROPERTY ACQUISITION PIPELINE</t>
  </si>
  <si>
    <t>SECTION A — FINANCIAL METRICS</t>
  </si>
  <si>
    <t>Opportunity</t>
  </si>
  <si>
    <t>Location</t>
  </si>
  <si>
    <t>Sector</t>
  </si>
  <si>
    <t>Acquisition
Cost ($)</t>
  </si>
  <si>
    <t>Project IRR
(%)</t>
  </si>
  <si>
    <t>Annual NOI
($)</t>
  </si>
  <si>
    <t>NPV @ 10%
($K)</t>
  </si>
  <si>
    <t>Equity
Required ($)</t>
  </si>
  <si>
    <t>Opportunity 1
Residential Care Facility</t>
  </si>
  <si>
    <t>Ringwood, VIC</t>
  </si>
  <si>
    <t>Aged Care</t>
  </si>
  <si>
    <t>Opportunity 2
Independent Living Units</t>
  </si>
  <si>
    <t>Frankston, VIC</t>
  </si>
  <si>
    <t>Retirement</t>
  </si>
  <si>
    <t>Opportunity 3
Medical Centre &amp; Allied</t>
  </si>
  <si>
    <t>Doncaster, VIC</t>
  </si>
  <si>
    <t>Healthcare</t>
  </si>
  <si>
    <t>Opportunity 4
Development Site</t>
  </si>
  <si>
    <t>Epping, VIC</t>
  </si>
  <si>
    <t>Development</t>
  </si>
  <si>
    <t>SECTION B — WEIGHTED SCORING MATRIX (1–10 scale per criterion)</t>
  </si>
  <si>
    <t>Criterion</t>
  </si>
  <si>
    <t>Weight (%)</t>
  </si>
  <si>
    <t>Opp 1
Score</t>
  </si>
  <si>
    <t>Opp 2
Score</t>
  </si>
  <si>
    <t>Opp 3
Score</t>
  </si>
  <si>
    <t>Opp 4
Score</t>
  </si>
  <si>
    <t>Opp 1
Wtd</t>
  </si>
  <si>
    <t>Opp 4
Wtd</t>
  </si>
  <si>
    <t>Financial Return (IRR vs Hurdle)</t>
  </si>
  <si>
    <t>Strategic Fit (Mission Alignment)</t>
  </si>
  <si>
    <t>Risk Profile (Lower = Better)</t>
  </si>
  <si>
    <t>Market / Location Quality</t>
  </si>
  <si>
    <t>Operational Complexity</t>
  </si>
  <si>
    <t>Social / Community Impact</t>
  </si>
  <si>
    <t>TOTAL WEIGHTED SCORE</t>
  </si>
  <si>
    <t>SECTION C — FINAL PRIORITY RANKING &amp; RECOMMENDATION</t>
  </si>
  <si>
    <t>Rank</t>
  </si>
  <si>
    <t>IRR (%)</t>
  </si>
  <si>
    <t>Weighted
Score</t>
  </si>
  <si>
    <t>NPV ($K)</t>
  </si>
  <si>
    <t>Capital
Required ($)</t>
  </si>
  <si>
    <t>Recommendation</t>
  </si>
  <si>
    <t>Opportunity 3</t>
  </si>
  <si>
    <t>Immediate approval — IRR + strategic fit both exceed thresholds</t>
  </si>
  <si>
    <t>Opportunity 2</t>
  </si>
  <si>
    <t>Approve subject to board review of ILU market forecast</t>
  </si>
  <si>
    <t>Opportunity 1</t>
  </si>
  <si>
    <t>Stage 2 DD — strong IRR but mission alignment below threshold</t>
  </si>
  <si>
    <t>Opportunity 4</t>
  </si>
  <si>
    <t>Defer 12 months — development risk too high for current pipeline</t>
  </si>
  <si>
    <t>Asset</t>
  </si>
  <si>
    <t>Weighted Score</t>
  </si>
  <si>
    <t>Opp 1 — Aged Care</t>
  </si>
  <si>
    <t>Opp 2 — ILU</t>
  </si>
  <si>
    <t>Opp 3 — Medical</t>
  </si>
  <si>
    <t>Opp 4 — Dev Site</t>
  </si>
  <si>
    <t>SCORING METHODOLOGY — CAPITAL PRIORITISATION CRITERIA</t>
  </si>
  <si>
    <t>Weight</t>
  </si>
  <si>
    <t>Score Guide</t>
  </si>
  <si>
    <t>Rationale</t>
  </si>
  <si>
    <t>30%</t>
  </si>
  <si>
    <t>10=IRR&gt;20%; 7=15-20%; 4=10-15%; 1=&lt;10%</t>
  </si>
  <si>
    <t>Primary financial screen — IRR must exceed 10% hurdle for any aged care / not-for-profit capital; Development-grade returns (&gt;18%) scored highest to reflect risk premium required.</t>
  </si>
  <si>
    <t>25%</t>
  </si>
  <si>
    <t>10=Core mission; 7=Adjacent; 4=Related; 1=Off-mission</t>
  </si>
  <si>
    <t>Critical for BaptistCare-style organisations — acquisitions must advance aged care, retirement living, or community services mandate. Medical centres score highly as direct care enablers.</t>
  </si>
  <si>
    <t>15%</t>
  </si>
  <si>
    <t>10=Stabilised income; 7=Minor refurb; 4=Dev risk; 1=Speculative</t>
  </si>
  <si>
    <t>Not-for-profit boards are risk-averse; development site scores poorly due to construction risk, planning uncertainty, and longer capital tie-up vs. income-producing alternatives.</t>
  </si>
  <si>
    <t>12%</t>
  </si>
  <si>
    <t>10=Inner Metro; 7=Mid-ring; 5=Outer; 3=Regional</t>
  </si>
  <si>
    <t>Location drives both long-term capital appreciation and operational demand. Inner-eastern Melbourne suburbs (Doncaster, Ringwood) score higher due to ageing demographic concentration.</t>
  </si>
  <si>
    <t>10%</t>
  </si>
  <si>
    <t>10=Simple lease; 7=Managed; 4=Partial ops; 1=Full ops</t>
  </si>
  <si>
    <t>Operational complexity affects ongoing management costs and staffing risk. A pure lease structure is preferred; full aged care operations require ACFI management expertise and regulatory compliance.</t>
  </si>
  <si>
    <t>8%</t>
  </si>
  <si>
    <t>10=Direct care delivery; 7=Enabling services; 4=Indirect; 1=None</t>
  </si>
  <si>
    <t>ESG and community impact scoring is increasingly important for board approval and DGR/charity status compliance. ILUs and aged care facilities score highest on direct social benefit delivered.</t>
  </si>
  <si>
    <t>Not-for-profit healthcare / aged care property investment framework</t>
  </si>
  <si>
    <t>NOTE: All financial projections are based on publicly available market data and modelled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</si>
</sst>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;\-"/>
    <numFmt numFmtId="165" formatCode="0.00%;\(0.00%\);\-"/>
    <numFmt numFmtId="166" formatCode="#,##0;\(#,##0\);\-"/>
    <numFmt numFmtId="167" formatCode="0.0%;\(0.0%\);\-"/>
  </numFmts>
  <fonts count="1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color rgb="FF000000"/>
      <name val="Arial"/>
      <family val="2"/>
    </font>
    <font>
      <b/>
      <sz val="12"/>
      <color rgb="FFFFFFFF"/>
      <name val="Arial"/>
      <family val="2"/>
    </font>
    <font>
      <i/>
      <sz val="8"/>
      <color rgb="FF595959"/>
      <name val="Arial"/>
      <family val="2"/>
    </font>
    <font>
      <sz val="9"/>
      <color rgb="FF00000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rgb="FFFF000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7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FFDAD9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DAD9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375623"/>
        <bgColor rgb="FF595959"/>
      </patternFill>
    </fill>
    <fill>
      <patternFill patternType="solid">
        <fgColor theme="2" tint="-0.89999084444715716"/>
        <bgColor rgb="FF333399"/>
      </patternFill>
    </fill>
    <fill>
      <patternFill patternType="solid">
        <fgColor theme="2" tint="-0.249977111117893"/>
        <bgColor rgb="FF333399"/>
      </patternFill>
    </fill>
    <fill>
      <patternFill patternType="solid">
        <fgColor theme="2" tint="-0.249977111117893"/>
        <bgColor rgb="FF4F81BD"/>
      </patternFill>
    </fill>
    <fill>
      <patternFill patternType="solid">
        <fgColor theme="1"/>
        <bgColor rgb="FF4F81BD"/>
      </patternFill>
    </fill>
    <fill>
      <patternFill patternType="solid">
        <fgColor theme="1" tint="4.9989318521683403E-2"/>
        <bgColor rgb="FF4F81BD"/>
      </patternFill>
    </fill>
  </fills>
  <borders count="5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11" borderId="1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left" vertical="center" wrapText="1" indent="1"/>
    </xf>
    <xf numFmtId="49" fontId="4" fillId="3" borderId="2" xfId="0" applyNumberFormat="1" applyFont="1" applyFill="1" applyBorder="1" applyAlignment="1">
      <alignment horizontal="left" vertical="center" indent="1"/>
    </xf>
    <xf numFmtId="49" fontId="4" fillId="3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6" fontId="3" fillId="6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left" vertical="center" wrapText="1" indent="1"/>
    </xf>
    <xf numFmtId="49" fontId="4" fillId="7" borderId="2" xfId="0" applyNumberFormat="1" applyFont="1" applyFill="1" applyBorder="1" applyAlignment="1">
      <alignment horizontal="left" vertical="center" indent="1"/>
    </xf>
    <xf numFmtId="49" fontId="4" fillId="7" borderId="2" xfId="0" applyNumberFormat="1" applyFont="1" applyFill="1" applyBorder="1" applyAlignment="1">
      <alignment horizontal="center" vertical="center"/>
    </xf>
    <xf numFmtId="164" fontId="3" fillId="7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left" vertical="center" wrapText="1" indent="1"/>
    </xf>
    <xf numFmtId="49" fontId="4" fillId="5" borderId="2" xfId="0" applyNumberFormat="1" applyFont="1" applyFill="1" applyBorder="1" applyAlignment="1">
      <alignment horizontal="left" vertical="center" indent="1"/>
    </xf>
    <xf numFmtId="49" fontId="4" fillId="5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6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left" vertical="center" wrapText="1" indent="1"/>
    </xf>
    <xf numFmtId="49" fontId="4" fillId="8" borderId="2" xfId="0" applyNumberFormat="1" applyFont="1" applyFill="1" applyBorder="1" applyAlignment="1">
      <alignment horizontal="left" vertical="center" indent="1"/>
    </xf>
    <xf numFmtId="49" fontId="4" fillId="8" borderId="2" xfId="0" applyNumberFormat="1" applyFont="1" applyFill="1" applyBorder="1" applyAlignment="1">
      <alignment horizontal="center" vertical="center"/>
    </xf>
    <xf numFmtId="164" fontId="3" fillId="8" borderId="2" xfId="0" applyNumberFormat="1" applyFont="1" applyFill="1" applyBorder="1" applyAlignment="1">
      <alignment horizontal="center" vertical="center"/>
    </xf>
    <xf numFmtId="165" fontId="3" fillId="7" borderId="2" xfId="0" applyNumberFormat="1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 indent="2"/>
    </xf>
    <xf numFmtId="167" fontId="5" fillId="4" borderId="2" xfId="0" applyNumberFormat="1" applyFont="1" applyFill="1" applyBorder="1" applyAlignment="1">
      <alignment horizontal="center" vertical="center"/>
    </xf>
    <xf numFmtId="3" fontId="3" fillId="7" borderId="2" xfId="0" applyNumberFormat="1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2" fontId="0" fillId="9" borderId="2" xfId="0" applyNumberFormat="1" applyFill="1" applyBorder="1" applyAlignment="1">
      <alignment horizontal="right" vertical="center"/>
    </xf>
    <xf numFmtId="0" fontId="3" fillId="10" borderId="2" xfId="0" applyFont="1" applyFill="1" applyBorder="1" applyAlignment="1">
      <alignment horizontal="left" vertical="center" indent="2"/>
    </xf>
    <xf numFmtId="3" fontId="4" fillId="6" borderId="2" xfId="0" applyNumberFormat="1" applyFont="1" applyFill="1" applyBorder="1" applyAlignment="1">
      <alignment horizontal="center" vertical="center"/>
    </xf>
    <xf numFmtId="2" fontId="0" fillId="10" borderId="2" xfId="0" applyNumberFormat="1" applyFill="1" applyBorder="1" applyAlignment="1">
      <alignment horizontal="right" vertical="center"/>
    </xf>
    <xf numFmtId="2" fontId="6" fillId="4" borderId="2" xfId="0" applyNumberFormat="1" applyFon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right" vertical="center"/>
    </xf>
    <xf numFmtId="0" fontId="2" fillId="11" borderId="2" xfId="0" applyFont="1" applyFill="1" applyBorder="1" applyAlignment="1">
      <alignment horizontal="center" vertical="center" wrapText="1"/>
    </xf>
    <xf numFmtId="2" fontId="3" fillId="7" borderId="2" xfId="0" applyNumberFormat="1" applyFont="1" applyFill="1" applyBorder="1" applyAlignment="1">
      <alignment horizontal="center" vertical="center"/>
    </xf>
    <xf numFmtId="166" fontId="4" fillId="7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left" vertical="center" wrapText="1" indent="1"/>
    </xf>
    <xf numFmtId="3" fontId="3" fillId="3" borderId="2" xfId="0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left" vertical="center" wrapText="1" indent="1"/>
    </xf>
    <xf numFmtId="3" fontId="3" fillId="5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left" vertical="center" wrapText="1" indent="1"/>
    </xf>
    <xf numFmtId="3" fontId="3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left" vertical="center" indent="1"/>
    </xf>
    <xf numFmtId="165" fontId="3" fillId="6" borderId="2" xfId="0" applyNumberFormat="1" applyFont="1" applyFill="1" applyBorder="1" applyAlignment="1">
      <alignment horizontal="center" vertical="center"/>
    </xf>
    <xf numFmtId="2" fontId="3" fillId="6" borderId="2" xfId="0" applyNumberFormat="1" applyFont="1" applyFill="1" applyBorder="1" applyAlignment="1">
      <alignment horizontal="center" vertical="center"/>
    </xf>
    <xf numFmtId="166" fontId="4" fillId="6" borderId="2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left" vertical="center" wrapText="1" indent="1"/>
    </xf>
    <xf numFmtId="0" fontId="2" fillId="2" borderId="2" xfId="0" applyFont="1" applyFill="1" applyBorder="1"/>
    <xf numFmtId="0" fontId="0" fillId="9" borderId="2" xfId="0" applyFill="1" applyBorder="1"/>
    <xf numFmtId="165" fontId="0" fillId="9" borderId="2" xfId="0" applyNumberFormat="1" applyFill="1" applyBorder="1"/>
    <xf numFmtId="2" fontId="0" fillId="9" borderId="2" xfId="0" applyNumberFormat="1" applyFill="1" applyBorder="1"/>
    <xf numFmtId="0" fontId="0" fillId="10" borderId="2" xfId="0" applyFill="1" applyBorder="1"/>
    <xf numFmtId="165" fontId="0" fillId="10" borderId="2" xfId="0" applyNumberFormat="1" applyFill="1" applyBorder="1"/>
    <xf numFmtId="2" fontId="0" fillId="10" borderId="2" xfId="0" applyNumberFormat="1" applyFill="1" applyBorder="1"/>
    <xf numFmtId="0" fontId="5" fillId="4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 wrapText="1" indent="1"/>
    </xf>
    <xf numFmtId="0" fontId="9" fillId="9" borderId="2" xfId="0" applyFont="1" applyFill="1" applyBorder="1" applyAlignment="1">
      <alignment horizontal="left" vertical="center" wrapText="1" indent="1"/>
    </xf>
    <xf numFmtId="0" fontId="8" fillId="10" borderId="2" xfId="0" applyFont="1" applyFill="1" applyBorder="1" applyAlignment="1">
      <alignment horizontal="left" vertical="center" wrapText="1" indent="1"/>
    </xf>
    <xf numFmtId="0" fontId="9" fillId="10" borderId="2" xfId="0" applyFont="1" applyFill="1" applyBorder="1" applyAlignment="1">
      <alignment horizontal="left" vertical="center" wrapText="1" indent="1"/>
    </xf>
    <xf numFmtId="0" fontId="7" fillId="12" borderId="0" xfId="0" applyFont="1" applyFill="1" applyAlignment="1">
      <alignment horizontal="center" vertical="center"/>
    </xf>
    <xf numFmtId="0" fontId="2" fillId="12" borderId="2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2CC"/>
      <rgbColor rgb="FFD6E4F7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F9F9F9"/>
      <rgbColor rgb="FFFF99CC"/>
      <rgbColor rgb="FFCC99FF"/>
      <rgbColor rgb="FFFFDAD9"/>
      <rgbColor rgb="FF4F81BD"/>
      <rgbColor rgb="FF33CCCC"/>
      <rgbColor rgb="FF99CC00"/>
      <rgbColor rgb="FFFFCC00"/>
      <rgbColor rgb="FFFF9900"/>
      <rgbColor rgb="FFC55A1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IRR vs. Hurdle Rate (10%) by Opportunity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Capital_Prioritisation!$C$29</c:f>
              <c:strCache>
                <c:ptCount val="1"/>
                <c:pt idx="0">
                  <c:v>IRR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5FA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9CC-BC4E-A324-F5CF00D3E17A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9CC-BC4E-A324-F5CF00D3E17A}"/>
              </c:ext>
            </c:extLst>
          </c:dPt>
          <c:dPt>
            <c:idx val="2"/>
            <c:invertIfNegative val="0"/>
            <c:bubble3D val="0"/>
            <c:spPr>
              <a:solidFill>
                <a:srgbClr val="C55A1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09CC-BC4E-A324-F5CF00D3E17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09CC-BC4E-A324-F5CF00D3E17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9CC-BC4E-A324-F5CF00D3E17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9CC-BC4E-A324-F5CF00D3E17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9CC-BC4E-A324-F5CF00D3E17A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9CC-BC4E-A324-F5CF00D3E1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Capital_Prioritisation!$B$30:$B$33</c:f>
              <c:strCache>
                <c:ptCount val="4"/>
                <c:pt idx="0">
                  <c:v>Opp 1 — Aged Care</c:v>
                </c:pt>
                <c:pt idx="1">
                  <c:v>Opp 2 — ILU</c:v>
                </c:pt>
                <c:pt idx="2">
                  <c:v>Opp 3 — Medical</c:v>
                </c:pt>
                <c:pt idx="3">
                  <c:v>Opp 4 — Dev Site</c:v>
                </c:pt>
              </c:strCache>
            </c:strRef>
          </c:cat>
          <c:val>
            <c:numRef>
              <c:f>Capital_Prioritisation!$C$30:$C$33</c:f>
              <c:numCache>
                <c:formatCode>0.00%;\(0.00%\);\-</c:formatCode>
                <c:ptCount val="4"/>
                <c:pt idx="0">
                  <c:v>0.13500000000000001</c:v>
                </c:pt>
                <c:pt idx="1">
                  <c:v>0.112</c:v>
                </c:pt>
                <c:pt idx="2">
                  <c:v>0.14799999999999999</c:v>
                </c:pt>
                <c:pt idx="3">
                  <c:v>0.19500000000000001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CC-BC4E-A324-F5CF00D3E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023402"/>
        <c:axId val="17035229"/>
      </c:barChart>
      <c:catAx>
        <c:axId val="350234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035229"/>
        <c:crosses val="autoZero"/>
        <c:auto val="1"/>
        <c:lblAlgn val="ctr"/>
        <c:lblOffset val="100"/>
        <c:noMultiLvlLbl val="0"/>
      </c:catAx>
      <c:valAx>
        <c:axId val="170352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IRR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;\(0.0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0234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Weighted Strategic Score by Opportunity (max=10)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Capital_Prioritisation!$D$29</c:f>
              <c:strCache>
                <c:ptCount val="1"/>
                <c:pt idx="0">
                  <c:v>Weighted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5FA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C13-994B-89D4-F26D37999374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C13-994B-89D4-F26D37999374}"/>
              </c:ext>
            </c:extLst>
          </c:dPt>
          <c:dPt>
            <c:idx val="2"/>
            <c:invertIfNegative val="0"/>
            <c:bubble3D val="0"/>
            <c:spPr>
              <a:solidFill>
                <a:srgbClr val="C55A1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0C13-994B-89D4-F26D3799937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0C13-994B-89D4-F26D3799937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C13-994B-89D4-F26D3799937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C13-994B-89D4-F26D3799937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C13-994B-89D4-F26D37999374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C13-994B-89D4-F26D379993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Capital_Prioritisation!$B$30:$B$33</c:f>
              <c:strCache>
                <c:ptCount val="4"/>
                <c:pt idx="0">
                  <c:v>Opp 1 — Aged Care</c:v>
                </c:pt>
                <c:pt idx="1">
                  <c:v>Opp 2 — ILU</c:v>
                </c:pt>
                <c:pt idx="2">
                  <c:v>Opp 3 — Medical</c:v>
                </c:pt>
                <c:pt idx="3">
                  <c:v>Opp 4 — Dev Site</c:v>
                </c:pt>
              </c:strCache>
            </c:strRef>
          </c:cat>
          <c:val>
            <c:numRef>
              <c:f>Capital_Prioritisation!$D$30:$D$33</c:f>
              <c:numCache>
                <c:formatCode>0.00</c:formatCode>
                <c:ptCount val="4"/>
                <c:pt idx="0">
                  <c:v>7.07</c:v>
                </c:pt>
                <c:pt idx="1">
                  <c:v>7.58</c:v>
                </c:pt>
                <c:pt idx="2">
                  <c:v>7.99</c:v>
                </c:pt>
                <c:pt idx="3">
                  <c:v>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13-994B-89D4-F26D37999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36687"/>
        <c:axId val="27367097"/>
      </c:barChart>
      <c:catAx>
        <c:axId val="1583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67097"/>
        <c:crosses val="autoZero"/>
        <c:auto val="1"/>
        <c:lblAlgn val="ctr"/>
        <c:lblOffset val="100"/>
        <c:noMultiLvlLbl val="0"/>
      </c:catAx>
      <c:valAx>
        <c:axId val="273670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Weighted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366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685800</xdr:colOff>
      <xdr:row>35</xdr:row>
      <xdr:rowOff>88900</xdr:rowOff>
    </xdr:from>
    <xdr:to>
      <xdr:col>8</xdr:col>
      <xdr:colOff>2448600</xdr:colOff>
      <xdr:row>58</xdr:row>
      <xdr:rowOff>1700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38100</xdr:rowOff>
    </xdr:from>
    <xdr:to>
      <xdr:col>4</xdr:col>
      <xdr:colOff>1077000</xdr:colOff>
      <xdr:row>57</xdr:row>
      <xdr:rowOff>166980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B1:I65"/>
  <sheetViews>
    <sheetView showGridLines="0" tabSelected="1" zoomScaleNormal="100" workbookViewId="0">
      <selection activeCell="H62" sqref="H62"/>
    </sheetView>
  </sheetViews>
  <sheetFormatPr baseColWidth="10" defaultColWidth="8.6640625" defaultRowHeight="15" x14ac:dyDescent="0.2"/>
  <cols>
    <col min="1" max="1" width="3" customWidth="1"/>
    <col min="2" max="2" width="32" customWidth="1"/>
    <col min="3" max="6" width="16" customWidth="1"/>
    <col min="7" max="7" width="12" customWidth="1"/>
    <col min="8" max="8" width="30" customWidth="1"/>
    <col min="9" max="9" width="34.6640625" customWidth="1"/>
  </cols>
  <sheetData>
    <row r="1" spans="2:9" ht="31.5" customHeight="1" x14ac:dyDescent="0.2">
      <c r="B1" s="70" t="s">
        <v>0</v>
      </c>
      <c r="C1" s="70"/>
      <c r="D1" s="70"/>
      <c r="E1" s="70"/>
      <c r="F1" s="70"/>
      <c r="G1" s="70"/>
      <c r="H1" s="70"/>
    </row>
    <row r="2" spans="2:9" ht="15" customHeight="1" x14ac:dyDescent="0.2">
      <c r="B2" s="71" t="s">
        <v>81</v>
      </c>
      <c r="C2" s="71"/>
      <c r="D2" s="71"/>
      <c r="E2" s="71"/>
      <c r="F2" s="71"/>
      <c r="G2" s="71"/>
      <c r="H2" s="71"/>
    </row>
    <row r="3" spans="2:9" ht="15.75" customHeight="1" x14ac:dyDescent="0.2">
      <c r="B3" s="72" t="s">
        <v>1</v>
      </c>
      <c r="C3" s="72"/>
      <c r="D3" s="72"/>
      <c r="E3" s="72"/>
      <c r="F3" s="72"/>
      <c r="G3" s="72"/>
      <c r="H3" s="72"/>
    </row>
    <row r="4" spans="2:9" ht="27.75" customHeight="1" x14ac:dyDescent="0.2">
      <c r="B4" s="73" t="s">
        <v>2</v>
      </c>
      <c r="C4" s="73" t="s">
        <v>3</v>
      </c>
      <c r="D4" s="73" t="s">
        <v>4</v>
      </c>
      <c r="E4" s="73" t="s">
        <v>5</v>
      </c>
      <c r="F4" s="73" t="s">
        <v>6</v>
      </c>
      <c r="G4" s="73" t="s">
        <v>7</v>
      </c>
      <c r="H4" s="73" t="s">
        <v>8</v>
      </c>
      <c r="I4" s="74" t="s">
        <v>9</v>
      </c>
    </row>
    <row r="5" spans="2:9" ht="28" customHeight="1" x14ac:dyDescent="0.2">
      <c r="B5" s="2" t="s">
        <v>10</v>
      </c>
      <c r="C5" s="3" t="s">
        <v>11</v>
      </c>
      <c r="D5" s="4" t="s">
        <v>12</v>
      </c>
      <c r="E5" s="5">
        <v>4200000</v>
      </c>
      <c r="F5" s="6">
        <v>0.13500000000000001</v>
      </c>
      <c r="G5" s="7">
        <v>385000</v>
      </c>
      <c r="H5" s="8">
        <v>-350</v>
      </c>
      <c r="I5" s="7">
        <v>1470000</v>
      </c>
    </row>
    <row r="6" spans="2:9" ht="34" customHeight="1" x14ac:dyDescent="0.2">
      <c r="B6" s="9" t="s">
        <v>13</v>
      </c>
      <c r="C6" s="10" t="s">
        <v>14</v>
      </c>
      <c r="D6" s="11" t="s">
        <v>15</v>
      </c>
      <c r="E6" s="12">
        <v>6800000</v>
      </c>
      <c r="F6" s="6">
        <v>0.112</v>
      </c>
      <c r="G6" s="13">
        <v>680000</v>
      </c>
      <c r="H6" s="8">
        <v>0</v>
      </c>
      <c r="I6" s="13">
        <v>2380000</v>
      </c>
    </row>
    <row r="7" spans="2:9" ht="29" customHeight="1" x14ac:dyDescent="0.2">
      <c r="B7" s="14" t="s">
        <v>16</v>
      </c>
      <c r="C7" s="15" t="s">
        <v>17</v>
      </c>
      <c r="D7" s="16" t="s">
        <v>18</v>
      </c>
      <c r="E7" s="17">
        <v>3500000</v>
      </c>
      <c r="F7" s="6">
        <v>0.14799999999999999</v>
      </c>
      <c r="G7" s="18">
        <v>480000</v>
      </c>
      <c r="H7" s="19">
        <v>1300</v>
      </c>
      <c r="I7" s="18">
        <v>1225000</v>
      </c>
    </row>
    <row r="8" spans="2:9" ht="32" customHeight="1" x14ac:dyDescent="0.2">
      <c r="B8" s="20" t="s">
        <v>19</v>
      </c>
      <c r="C8" s="21" t="s">
        <v>20</v>
      </c>
      <c r="D8" s="22" t="s">
        <v>21</v>
      </c>
      <c r="E8" s="23">
        <v>2800000</v>
      </c>
      <c r="F8" s="24">
        <v>0.19500000000000001</v>
      </c>
      <c r="G8" s="25">
        <v>210000</v>
      </c>
      <c r="H8" s="8">
        <v>-700</v>
      </c>
      <c r="I8" s="25">
        <v>979999</v>
      </c>
    </row>
    <row r="11" spans="2:9" ht="15.75" customHeight="1" x14ac:dyDescent="0.2">
      <c r="B11" s="75" t="s">
        <v>22</v>
      </c>
      <c r="C11" s="75"/>
      <c r="D11" s="75"/>
      <c r="E11" s="75"/>
      <c r="F11" s="75"/>
      <c r="G11" s="75"/>
      <c r="H11" s="75"/>
    </row>
    <row r="12" spans="2:9" ht="27.75" customHeight="1" x14ac:dyDescent="0.2">
      <c r="B12" s="76" t="s">
        <v>23</v>
      </c>
      <c r="C12" s="76" t="s">
        <v>24</v>
      </c>
      <c r="D12" s="76" t="s">
        <v>25</v>
      </c>
      <c r="E12" s="76" t="s">
        <v>26</v>
      </c>
      <c r="F12" s="76" t="s">
        <v>27</v>
      </c>
      <c r="G12" s="76" t="s">
        <v>28</v>
      </c>
      <c r="H12" s="76" t="s">
        <v>29</v>
      </c>
      <c r="I12" s="76" t="s">
        <v>30</v>
      </c>
    </row>
    <row r="13" spans="2:9" ht="15" customHeight="1" x14ac:dyDescent="0.2">
      <c r="B13" s="26" t="s">
        <v>31</v>
      </c>
      <c r="C13" s="27">
        <v>0.3</v>
      </c>
      <c r="D13" s="28">
        <v>8</v>
      </c>
      <c r="E13" s="29">
        <v>6</v>
      </c>
      <c r="F13" s="28">
        <v>9</v>
      </c>
      <c r="G13" s="28">
        <v>10</v>
      </c>
      <c r="H13" s="30">
        <v>2.4</v>
      </c>
      <c r="I13" s="30">
        <v>3</v>
      </c>
    </row>
    <row r="14" spans="2:9" ht="15" customHeight="1" x14ac:dyDescent="0.2">
      <c r="B14" s="31" t="s">
        <v>32</v>
      </c>
      <c r="C14" s="27">
        <v>0.25</v>
      </c>
      <c r="D14" s="29">
        <v>7</v>
      </c>
      <c r="E14" s="28">
        <v>9</v>
      </c>
      <c r="F14" s="28">
        <v>8</v>
      </c>
      <c r="G14" s="32">
        <v>5</v>
      </c>
      <c r="H14" s="33">
        <v>1.75</v>
      </c>
      <c r="I14" s="33">
        <v>1.25</v>
      </c>
    </row>
    <row r="15" spans="2:9" ht="15" customHeight="1" x14ac:dyDescent="0.2">
      <c r="B15" s="26" t="s">
        <v>33</v>
      </c>
      <c r="C15" s="27">
        <v>0.15</v>
      </c>
      <c r="D15" s="29">
        <v>6</v>
      </c>
      <c r="E15" s="29">
        <v>7</v>
      </c>
      <c r="F15" s="29">
        <v>7</v>
      </c>
      <c r="G15" s="32">
        <v>4</v>
      </c>
      <c r="H15" s="30">
        <v>0.9</v>
      </c>
      <c r="I15" s="30">
        <v>0.6</v>
      </c>
    </row>
    <row r="16" spans="2:9" ht="15" customHeight="1" x14ac:dyDescent="0.2">
      <c r="B16" s="31" t="s">
        <v>34</v>
      </c>
      <c r="C16" s="27">
        <v>0.12</v>
      </c>
      <c r="D16" s="29">
        <v>7</v>
      </c>
      <c r="E16" s="28">
        <v>8</v>
      </c>
      <c r="F16" s="28">
        <v>9</v>
      </c>
      <c r="G16" s="29">
        <v>6</v>
      </c>
      <c r="H16" s="33">
        <v>0.84</v>
      </c>
      <c r="I16" s="33">
        <v>0.72</v>
      </c>
    </row>
    <row r="17" spans="2:9" ht="15" customHeight="1" x14ac:dyDescent="0.2">
      <c r="B17" s="26" t="s">
        <v>35</v>
      </c>
      <c r="C17" s="27">
        <v>0.1</v>
      </c>
      <c r="D17" s="29">
        <v>7</v>
      </c>
      <c r="E17" s="28">
        <v>8</v>
      </c>
      <c r="F17" s="29">
        <v>6</v>
      </c>
      <c r="G17" s="32">
        <v>5</v>
      </c>
      <c r="H17" s="30">
        <v>0.7</v>
      </c>
      <c r="I17" s="30">
        <v>0.5</v>
      </c>
    </row>
    <row r="18" spans="2:9" ht="15" customHeight="1" x14ac:dyDescent="0.2">
      <c r="B18" s="31" t="s">
        <v>36</v>
      </c>
      <c r="C18" s="27">
        <v>0.08</v>
      </c>
      <c r="D18" s="29">
        <v>6</v>
      </c>
      <c r="E18" s="28">
        <v>9</v>
      </c>
      <c r="F18" s="29">
        <v>7</v>
      </c>
      <c r="G18" s="32">
        <v>4</v>
      </c>
      <c r="H18" s="33">
        <v>0.48</v>
      </c>
      <c r="I18" s="33">
        <v>0.32</v>
      </c>
    </row>
    <row r="19" spans="2:9" ht="18" customHeight="1" x14ac:dyDescent="0.2">
      <c r="B19" s="1" t="s">
        <v>37</v>
      </c>
      <c r="C19" s="1"/>
      <c r="D19" s="34">
        <v>7.07</v>
      </c>
      <c r="E19" s="34">
        <v>7.58</v>
      </c>
      <c r="F19" s="34">
        <v>7.99</v>
      </c>
      <c r="G19" s="34">
        <v>6.39</v>
      </c>
      <c r="H19" s="35">
        <v>7.07</v>
      </c>
      <c r="I19" s="35">
        <v>6.39</v>
      </c>
    </row>
    <row r="21" spans="2:9" ht="15.75" customHeight="1" x14ac:dyDescent="0.2">
      <c r="B21" s="75" t="s">
        <v>38</v>
      </c>
      <c r="C21" s="75"/>
      <c r="D21" s="75"/>
      <c r="E21" s="75"/>
      <c r="F21" s="75"/>
      <c r="G21" s="75"/>
      <c r="H21" s="75"/>
    </row>
    <row r="22" spans="2:9" ht="27" customHeight="1" x14ac:dyDescent="0.2">
      <c r="B22" s="36" t="s">
        <v>39</v>
      </c>
      <c r="C22" s="36" t="s">
        <v>2</v>
      </c>
      <c r="D22" s="36" t="s">
        <v>4</v>
      </c>
      <c r="E22" s="36" t="s">
        <v>40</v>
      </c>
      <c r="F22" s="36" t="s">
        <v>41</v>
      </c>
      <c r="G22" s="36" t="s">
        <v>42</v>
      </c>
      <c r="H22" s="36" t="s">
        <v>43</v>
      </c>
      <c r="I22" s="36" t="s">
        <v>44</v>
      </c>
    </row>
    <row r="23" spans="2:9" ht="33" customHeight="1" x14ac:dyDescent="0.2">
      <c r="B23" s="28">
        <v>1</v>
      </c>
      <c r="C23" s="10" t="s">
        <v>45</v>
      </c>
      <c r="D23" s="10" t="s">
        <v>18</v>
      </c>
      <c r="E23" s="24">
        <v>0.14799999999999999</v>
      </c>
      <c r="F23" s="37">
        <v>7.99</v>
      </c>
      <c r="G23" s="38">
        <v>1300</v>
      </c>
      <c r="H23" s="13">
        <v>1225000</v>
      </c>
      <c r="I23" s="39" t="s">
        <v>46</v>
      </c>
    </row>
    <row r="24" spans="2:9" ht="33" customHeight="1" x14ac:dyDescent="0.2">
      <c r="B24" s="40">
        <v>2</v>
      </c>
      <c r="C24" s="3" t="s">
        <v>47</v>
      </c>
      <c r="D24" s="3" t="s">
        <v>15</v>
      </c>
      <c r="E24" s="41">
        <v>0.112</v>
      </c>
      <c r="F24" s="42">
        <v>7.58</v>
      </c>
      <c r="G24" s="43">
        <v>0</v>
      </c>
      <c r="H24" s="7">
        <v>2380000</v>
      </c>
      <c r="I24" s="44" t="s">
        <v>48</v>
      </c>
    </row>
    <row r="25" spans="2:9" ht="33" customHeight="1" x14ac:dyDescent="0.2">
      <c r="B25" s="45">
        <v>3</v>
      </c>
      <c r="C25" s="15" t="s">
        <v>49</v>
      </c>
      <c r="D25" s="15" t="s">
        <v>12</v>
      </c>
      <c r="E25" s="6">
        <v>0.13500000000000001</v>
      </c>
      <c r="F25" s="46">
        <v>7.07</v>
      </c>
      <c r="G25" s="47">
        <v>-350</v>
      </c>
      <c r="H25" s="18">
        <v>1470000</v>
      </c>
      <c r="I25" s="48" t="s">
        <v>50</v>
      </c>
    </row>
    <row r="26" spans="2:9" ht="33" customHeight="1" x14ac:dyDescent="0.2">
      <c r="B26" s="49">
        <v>4</v>
      </c>
      <c r="C26" s="50" t="s">
        <v>51</v>
      </c>
      <c r="D26" s="50" t="s">
        <v>21</v>
      </c>
      <c r="E26" s="51">
        <v>0.19500000000000001</v>
      </c>
      <c r="F26" s="52">
        <v>6.39</v>
      </c>
      <c r="G26" s="53">
        <v>-700</v>
      </c>
      <c r="H26" s="54">
        <v>979999</v>
      </c>
      <c r="I26" s="55" t="s">
        <v>52</v>
      </c>
    </row>
    <row r="29" spans="2:9" x14ac:dyDescent="0.2">
      <c r="B29" s="56" t="s">
        <v>53</v>
      </c>
      <c r="C29" s="56" t="s">
        <v>40</v>
      </c>
      <c r="D29" s="56" t="s">
        <v>54</v>
      </c>
    </row>
    <row r="30" spans="2:9" ht="13.5" customHeight="1" x14ac:dyDescent="0.2">
      <c r="B30" s="57" t="s">
        <v>55</v>
      </c>
      <c r="C30" s="58">
        <v>0.13500000000000001</v>
      </c>
      <c r="D30" s="59">
        <v>7.07</v>
      </c>
    </row>
    <row r="31" spans="2:9" ht="13.5" customHeight="1" x14ac:dyDescent="0.2">
      <c r="B31" s="60" t="s">
        <v>56</v>
      </c>
      <c r="C31" s="61">
        <v>0.112</v>
      </c>
      <c r="D31" s="62">
        <v>7.58</v>
      </c>
    </row>
    <row r="32" spans="2:9" ht="13.5" customHeight="1" x14ac:dyDescent="0.2">
      <c r="B32" s="57" t="s">
        <v>57</v>
      </c>
      <c r="C32" s="58">
        <v>0.14799999999999999</v>
      </c>
      <c r="D32" s="59">
        <v>7.99</v>
      </c>
    </row>
    <row r="33" spans="2:4" ht="13.5" customHeight="1" x14ac:dyDescent="0.2">
      <c r="B33" s="60" t="s">
        <v>58</v>
      </c>
      <c r="C33" s="61">
        <v>0.19500000000000001</v>
      </c>
      <c r="D33" s="62">
        <v>6.39</v>
      </c>
    </row>
    <row r="65" spans="2:2" x14ac:dyDescent="0.2">
      <c r="B65" s="77" t="s">
        <v>82</v>
      </c>
    </row>
  </sheetData>
  <mergeCells count="6">
    <mergeCell ref="B21:H21"/>
    <mergeCell ref="B1:H1"/>
    <mergeCell ref="B2:H2"/>
    <mergeCell ref="B3:H3"/>
    <mergeCell ref="B11:H11"/>
    <mergeCell ref="B19:C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B1:E8"/>
  <sheetViews>
    <sheetView showGridLines="0" zoomScaleNormal="100" workbookViewId="0">
      <selection activeCell="J3" sqref="J3"/>
    </sheetView>
  </sheetViews>
  <sheetFormatPr baseColWidth="10" defaultColWidth="8.6640625" defaultRowHeight="15" x14ac:dyDescent="0.2"/>
  <cols>
    <col min="1" max="1" width="3" customWidth="1"/>
    <col min="2" max="2" width="32" customWidth="1"/>
    <col min="3" max="3" width="14" customWidth="1"/>
    <col min="4" max="4" width="16" customWidth="1"/>
    <col min="5" max="5" width="50" customWidth="1"/>
  </cols>
  <sheetData>
    <row r="1" spans="2:5" ht="25.5" customHeight="1" x14ac:dyDescent="0.2">
      <c r="B1" s="68" t="s">
        <v>59</v>
      </c>
      <c r="C1" s="68"/>
      <c r="D1" s="68"/>
      <c r="E1" s="68"/>
    </row>
    <row r="2" spans="2:5" ht="15.75" customHeight="1" x14ac:dyDescent="0.2">
      <c r="B2" s="69" t="s">
        <v>23</v>
      </c>
      <c r="C2" s="69" t="s">
        <v>60</v>
      </c>
      <c r="D2" s="69" t="s">
        <v>61</v>
      </c>
      <c r="E2" s="69" t="s">
        <v>62</v>
      </c>
    </row>
    <row r="3" spans="2:5" ht="48" customHeight="1" x14ac:dyDescent="0.2">
      <c r="B3" s="26" t="s">
        <v>31</v>
      </c>
      <c r="C3" s="63" t="s">
        <v>63</v>
      </c>
      <c r="D3" s="64" t="s">
        <v>64</v>
      </c>
      <c r="E3" s="65" t="s">
        <v>65</v>
      </c>
    </row>
    <row r="4" spans="2:5" ht="48" customHeight="1" x14ac:dyDescent="0.2">
      <c r="B4" s="31" t="s">
        <v>32</v>
      </c>
      <c r="C4" s="63" t="s">
        <v>66</v>
      </c>
      <c r="D4" s="66" t="s">
        <v>67</v>
      </c>
      <c r="E4" s="67" t="s">
        <v>68</v>
      </c>
    </row>
    <row r="5" spans="2:5" ht="48" customHeight="1" x14ac:dyDescent="0.2">
      <c r="B5" s="26" t="s">
        <v>33</v>
      </c>
      <c r="C5" s="63" t="s">
        <v>69</v>
      </c>
      <c r="D5" s="64" t="s">
        <v>70</v>
      </c>
      <c r="E5" s="65" t="s">
        <v>71</v>
      </c>
    </row>
    <row r="6" spans="2:5" ht="48" customHeight="1" x14ac:dyDescent="0.2">
      <c r="B6" s="31" t="s">
        <v>34</v>
      </c>
      <c r="C6" s="63" t="s">
        <v>72</v>
      </c>
      <c r="D6" s="66" t="s">
        <v>73</v>
      </c>
      <c r="E6" s="67" t="s">
        <v>74</v>
      </c>
    </row>
    <row r="7" spans="2:5" ht="48" customHeight="1" x14ac:dyDescent="0.2">
      <c r="B7" s="26" t="s">
        <v>35</v>
      </c>
      <c r="C7" s="63" t="s">
        <v>75</v>
      </c>
      <c r="D7" s="64" t="s">
        <v>76</v>
      </c>
      <c r="E7" s="65" t="s">
        <v>77</v>
      </c>
    </row>
    <row r="8" spans="2:5" ht="48" customHeight="1" x14ac:dyDescent="0.2">
      <c r="B8" s="31" t="s">
        <v>36</v>
      </c>
      <c r="C8" s="63" t="s">
        <v>78</v>
      </c>
      <c r="D8" s="66" t="s">
        <v>79</v>
      </c>
      <c r="E8" s="67" t="s">
        <v>80</v>
      </c>
    </row>
  </sheetData>
  <mergeCells count="1">
    <mergeCell ref="B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Capital_Prioritisation</vt:lpstr>
      <vt:lpstr>Scoring_Methodology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gokul baskar</cp:lastModifiedBy>
  <cp:revision>1</cp:revision>
  <dcterms:created xsi:type="dcterms:W3CDTF">2026-03-23T12:54:28Z</dcterms:created>
  <dcterms:modified xsi:type="dcterms:W3CDTF">2026-03-23T13:15:42Z</dcterms:modified>
  <dc:language>en-US</dc:language>
</cp:coreProperties>
</file>